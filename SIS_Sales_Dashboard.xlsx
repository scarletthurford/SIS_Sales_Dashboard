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202300"/>
  <mc:AlternateContent xmlns:mc="http://schemas.openxmlformats.org/markup-compatibility/2006">
    <mc:Choice Requires="x15">
      <x15ac:absPath xmlns:x15ac="http://schemas.microsoft.com/office/spreadsheetml/2010/11/ac" url="/Users/scarletthurford/Desktop/Excel/projects/ScarlettsInStitches_Sales_Performance/"/>
    </mc:Choice>
  </mc:AlternateContent>
  <xr:revisionPtr revIDLastSave="0" documentId="8_{09C75E9A-5F21-7041-8E99-690935C70EC2}" xr6:coauthVersionLast="47" xr6:coauthVersionMax="47" xr10:uidLastSave="{00000000-0000-0000-0000-000000000000}"/>
  <bookViews>
    <workbookView showSheetTabs="0" xWindow="-940" yWindow="-21100" windowWidth="38400" windowHeight="21100" xr2:uid="{8394026C-4A41-DA49-9421-0EE7F050AD8C}"/>
  </bookViews>
  <sheets>
    <sheet name="Dashboard" sheetId="15" r:id="rId1"/>
    <sheet name="CityList" sheetId="9" r:id="rId2"/>
    <sheet name="EtsySoldOrderItems20-26" sheetId="2" r:id="rId3"/>
    <sheet name="Graphs" sheetId="11" r:id="rId4"/>
  </sheets>
  <definedNames>
    <definedName name="ExternalData_1" localSheetId="2" hidden="1">'EtsySoldOrderItems20-26'!$A$1:$N$78</definedName>
    <definedName name="ExternalData_8" localSheetId="1" hidden="1">'CityList'!$A$1:$A$65</definedName>
    <definedName name="NativeTimeline_Sale_Date">#N/A</definedName>
    <definedName name="Slicer_Hardware">#N/A</definedName>
    <definedName name="Slicer_Item_Name">#N/A</definedName>
    <definedName name="Slicer_Ship_Country">#N/A</definedName>
  </definedNames>
  <calcPr calcId="181029"/>
  <pivotCaches>
    <pivotCache cacheId="4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7E1F0A-C562-DA44-9EC7-C3FD3321566C}" keepAlive="1" name="Query - CityList(1)" description="Connection to the 'CityList' query in the workbook." type="5" refreshedVersion="8" background="1" saveData="1">
    <dbPr connection="Provider=Microsoft.Mashup.OleDb.1;Data Source=$Workbook$;Location=CityList;Extended Properties=&quot;&quot;" command="SELECT * FROM [CityList]"/>
  </connection>
  <connection id="2" xr16:uid="{789C26C1-EF1B-B948-B5A7-25EAED6965BA}" keepAlive="1" name="Query - EtsySoldOrderItems2020" description="Connection to the 'EtsySoldOrderItems2020' query in the workbook." type="5" refreshedVersion="8" background="1" saveData="1">
    <dbPr connection="Provider=Microsoft.Mashup.OleDb.1;Data Source=$Workbook$;Location=EtsySoldOrderItems2020;Extended Properties=&quot;&quot;" command="SELECT * FROM [EtsySoldOrderItems2020]"/>
  </connection>
  <connection id="3" xr16:uid="{B9429695-AC31-A54C-8EAE-981D403F6D4C}" keepAlive="1" name="Query - EtsySoldOrderItems2021" description="Connection to the 'EtsySoldOrderItems2021' query in the workbook." type="5" refreshedVersion="8" background="1" saveData="1">
    <dbPr connection="Provider=Microsoft.Mashup.OleDb.1;Data Source=$Workbook$;Location=EtsySoldOrderItems2021;Extended Properties=&quot;&quot;" command="SELECT * FROM [EtsySoldOrderItems2021]"/>
  </connection>
  <connection id="4" xr16:uid="{9802466F-5B79-CD4E-A528-5BD74A4D1906}" keepAlive="1" name="Query - EtsySoldOrderItems2022" description="Connection to the 'EtsySoldOrderItems2022' query in the workbook." type="5" refreshedVersion="8" background="1" saveData="1">
    <dbPr connection="Provider=Microsoft.Mashup.OleDb.1;Data Source=$Workbook$;Location=EtsySoldOrderItems2022;Extended Properties=&quot;&quot;" command="SELECT * FROM [EtsySoldOrderItems2022]"/>
  </connection>
  <connection id="5" xr16:uid="{5E94632D-A458-6C4D-8C0B-1B11DEF3BC2F}" keepAlive="1" name="Query - EtsySoldOrderItems2023" description="Connection to the 'EtsySoldOrderItems2023' query in the workbook." type="5" refreshedVersion="8" background="1" saveData="1">
    <dbPr connection="Provider=Microsoft.Mashup.OleDb.1;Data Source=$Workbook$;Location=EtsySoldOrderItems2023;Extended Properties=&quot;&quot;" command="SELECT * FROM [EtsySoldOrderItems2023]"/>
  </connection>
  <connection id="6" xr16:uid="{59DADFA5-F619-7641-947E-EA5EAACF6DB0}" keepAlive="1" name="Query - EtsySoldOrderItems2024" description="Connection to the 'EtsySoldOrderItems2024' query in the workbook." type="5" refreshedVersion="8" background="1" saveData="1">
    <dbPr connection="Provider=Microsoft.Mashup.OleDb.1;Data Source=$Workbook$;Location=EtsySoldOrderItems2024;Extended Properties=&quot;&quot;" command="SELECT * FROM [EtsySoldOrderItems2024]"/>
  </connection>
  <connection id="7" xr16:uid="{33A33D41-007C-454E-9BFF-9FF36D8EBA89}" keepAlive="1" name="Query - EtsySoldOrderItems2025" description="Connection to the 'EtsySoldOrderItems2025' query in the workbook." type="5" refreshedVersion="8" background="1" saveData="1">
    <dbPr connection="Provider=Microsoft.Mashup.OleDb.1;Data Source=$Workbook$;Location=EtsySoldOrderItems2025;Extended Properties=&quot;&quot;" command="SELECT * FROM [EtsySoldOrderItems2025]"/>
  </connection>
  <connection id="8" xr16:uid="{9D95EF25-883B-4D41-A3D9-BC0EDF3CA95A}" keepAlive="1" name="Query - EtsySoldOrderItems2026" description="Connection to the 'EtsySoldOrderItems2026' query in the workbook." type="5" refreshedVersion="8" background="1" saveData="1">
    <dbPr connection="Provider=Microsoft.Mashup.OleDb.1;Data Source=$Workbook$;Location=EtsySoldOrderItems2026;Extended Properties=&quot;&quot;" command="SELECT * FROM [EtsySoldOrderItems2026]"/>
  </connection>
</connections>
</file>

<file path=xl/sharedStrings.xml><?xml version="1.0" encoding="utf-8"?>
<sst xmlns="http://schemas.openxmlformats.org/spreadsheetml/2006/main" count="562" uniqueCount="114">
  <si>
    <t>Sale Date</t>
  </si>
  <si>
    <t>Item Name</t>
  </si>
  <si>
    <t>Listing ID</t>
  </si>
  <si>
    <t>Date Paid</t>
  </si>
  <si>
    <t>Date Shipped</t>
  </si>
  <si>
    <t>Ship City</t>
  </si>
  <si>
    <t>Ship Country</t>
  </si>
  <si>
    <t>Order ID</t>
  </si>
  <si>
    <t>Smiley &amp; Sad daisy Crochet Earrings</t>
  </si>
  <si>
    <t>Portland</t>
  </si>
  <si>
    <t>United States</t>
  </si>
  <si>
    <t>Small Crochet Rainbow Earrings</t>
  </si>
  <si>
    <t xml:space="preserve">Reading </t>
  </si>
  <si>
    <t>United Kingdom</t>
  </si>
  <si>
    <t>Orange</t>
  </si>
  <si>
    <t>Bristol</t>
  </si>
  <si>
    <t>Crochet Tiered Rainbow Flower Earrings</t>
  </si>
  <si>
    <t>Southampton</t>
  </si>
  <si>
    <t>Norwich</t>
  </si>
  <si>
    <t>London</t>
  </si>
  <si>
    <t>Belfast</t>
  </si>
  <si>
    <t>Northern Ireland</t>
  </si>
  <si>
    <t>Crochet Strawberry Earrings</t>
  </si>
  <si>
    <t>Worcester</t>
  </si>
  <si>
    <t>Dagenham</t>
  </si>
  <si>
    <t>Royston</t>
  </si>
  <si>
    <t>Burnley</t>
  </si>
  <si>
    <t>Rutherglen, Glasgow</t>
  </si>
  <si>
    <t>Oxford</t>
  </si>
  <si>
    <t>Cookstown</t>
  </si>
  <si>
    <t>Trim</t>
  </si>
  <si>
    <t>Ireland</t>
  </si>
  <si>
    <t>Crochet Rainbow Earrings</t>
  </si>
  <si>
    <t>Winchester</t>
  </si>
  <si>
    <t>Indianapolis</t>
  </si>
  <si>
    <t>Midsomer Norton</t>
  </si>
  <si>
    <t>Dresden</t>
  </si>
  <si>
    <t>Germany</t>
  </si>
  <si>
    <t>Crochet Sunflower Earrings</t>
  </si>
  <si>
    <t>Santa Cruz</t>
  </si>
  <si>
    <t>ALPHARETTA</t>
  </si>
  <si>
    <t>Earring Price</t>
  </si>
  <si>
    <t>Shipping Price</t>
  </si>
  <si>
    <t>Order Total</t>
  </si>
  <si>
    <t>Days to Ship</t>
  </si>
  <si>
    <t>Hardware</t>
  </si>
  <si>
    <t>Workington</t>
  </si>
  <si>
    <t>Hooks</t>
  </si>
  <si>
    <t>Margate</t>
  </si>
  <si>
    <t>Sheffield</t>
  </si>
  <si>
    <t>Leek</t>
  </si>
  <si>
    <t>Edinburgj</t>
  </si>
  <si>
    <t>Bothell</t>
  </si>
  <si>
    <t>Hoops</t>
  </si>
  <si>
    <t>SHEPTON MALLET</t>
  </si>
  <si>
    <t>PANAZOL</t>
  </si>
  <si>
    <t>France</t>
  </si>
  <si>
    <t>CALISTOGA</t>
  </si>
  <si>
    <t>Doncaster</t>
  </si>
  <si>
    <t>APEX</t>
  </si>
  <si>
    <t>SEATTLE</t>
  </si>
  <si>
    <t>Ellesmere Port</t>
  </si>
  <si>
    <t>Bradford</t>
  </si>
  <si>
    <t>Dayton</t>
  </si>
  <si>
    <t>york</t>
  </si>
  <si>
    <t>Bridlington</t>
  </si>
  <si>
    <t>Winnetka</t>
  </si>
  <si>
    <t>Mexborough</t>
  </si>
  <si>
    <t xml:space="preserve">London </t>
  </si>
  <si>
    <t xml:space="preserve">Peterborough </t>
  </si>
  <si>
    <t>Reading</t>
  </si>
  <si>
    <t>sebring</t>
  </si>
  <si>
    <t xml:space="preserve">Newcastle Upon Tyne </t>
  </si>
  <si>
    <t>Buxton</t>
  </si>
  <si>
    <t>Coalville</t>
  </si>
  <si>
    <t>Nigrán</t>
  </si>
  <si>
    <t>Spain</t>
  </si>
  <si>
    <t>Rainbow Flower Smileys</t>
  </si>
  <si>
    <t>Stoke on Trent</t>
  </si>
  <si>
    <t>Croydon</t>
  </si>
  <si>
    <t>Apex</t>
  </si>
  <si>
    <t>Strabane</t>
  </si>
  <si>
    <t>JERSEYVILLE</t>
  </si>
  <si>
    <t>Aachen</t>
  </si>
  <si>
    <t>Drexel</t>
  </si>
  <si>
    <t>Chinnor</t>
  </si>
  <si>
    <t>Clapton</t>
  </si>
  <si>
    <t>Hereford</t>
  </si>
  <si>
    <t>Nottingham</t>
  </si>
  <si>
    <t>PLAINFIELD</t>
  </si>
  <si>
    <t>Meridian</t>
  </si>
  <si>
    <t>Grimsby</t>
  </si>
  <si>
    <t>UK Region</t>
  </si>
  <si>
    <t>North West</t>
  </si>
  <si>
    <t>South East</t>
  </si>
  <si>
    <t>Yorkshire and the Humber</t>
  </si>
  <si>
    <t>West Midlands</t>
  </si>
  <si>
    <t>Scotland</t>
  </si>
  <si>
    <t>Not UK</t>
  </si>
  <si>
    <t>South West</t>
  </si>
  <si>
    <t>East of England</t>
  </si>
  <si>
    <t>North East</t>
  </si>
  <si>
    <t>East Midlands</t>
  </si>
  <si>
    <t>Row Labels</t>
  </si>
  <si>
    <t>Grand Total</t>
  </si>
  <si>
    <t>2020</t>
  </si>
  <si>
    <t>2021</t>
  </si>
  <si>
    <t>2022</t>
  </si>
  <si>
    <t>2023</t>
  </si>
  <si>
    <t>2024</t>
  </si>
  <si>
    <t>2025</t>
  </si>
  <si>
    <t>2026</t>
  </si>
  <si>
    <t>Sum of Order Total</t>
  </si>
  <si>
    <t>Scarlett's In Stitches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</si>
</sst>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809]* #,##0.00_-;_-[$£-809]* &quot;-&quot;??_-;_-@_-"/>
  </numFmts>
  <fonts count="3" x14ac:knownFonts="1">
    <font>
      <sz val="12"/>
      <color theme="1"/>
      <name val="Aptos Narrow"/>
      <family val="2"/>
      <scheme val="minor"/>
    </font>
    <font>
      <sz val="12"/>
      <color rgb="FF000000"/>
      <name val="Aptos Narrow"/>
      <family val="2"/>
      <scheme val="minor"/>
    </font>
    <font>
      <b/>
      <sz val="50"/>
      <color theme="0"/>
      <name val="Aptos Narrow"/>
      <scheme val="minor"/>
    </font>
  </fonts>
  <fills count="4">
    <fill>
      <patternFill patternType="none"/>
    </fill>
    <fill>
      <patternFill patternType="gray125"/>
    </fill>
    <fill>
      <patternFill patternType="solid">
        <fgColor rgb="FFDAF2D0"/>
        <bgColor rgb="FFDAF2D0"/>
      </patternFill>
    </fill>
    <fill>
      <patternFill patternType="solid">
        <fgColor rgb="FFA02A93"/>
        <bgColor indexed="64"/>
      </patternFill>
    </fill>
  </fills>
  <borders count="2">
    <border>
      <left/>
      <right/>
      <top/>
      <bottom/>
      <diagonal/>
    </border>
    <border>
      <left/>
      <right style="thin">
        <color rgb="FF8ED973"/>
      </right>
      <top style="thin">
        <color rgb="FF8ED973"/>
      </top>
      <bottom style="thin">
        <color rgb="FF8ED973"/>
      </bottom>
      <diagonal/>
    </border>
  </borders>
  <cellStyleXfs count="1">
    <xf numFmtId="0" fontId="0" fillId="0" borderId="0"/>
  </cellStyleXfs>
  <cellXfs count="9">
    <xf numFmtId="0" fontId="0" fillId="0" borderId="0" xfId="0"/>
    <xf numFmtId="14" fontId="0" fillId="0" borderId="0" xfId="0" applyNumberFormat="1"/>
    <xf numFmtId="0" fontId="1"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39" fontId="0" fillId="0" borderId="0" xfId="0" applyNumberFormat="1"/>
    <xf numFmtId="0" fontId="2" fillId="3" borderId="0" xfId="0" applyFont="1" applyFill="1" applyAlignment="1">
      <alignment horizontal="center" vertical="center"/>
    </xf>
    <xf numFmtId="0" fontId="0" fillId="0" borderId="0" xfId="0" applyNumberFormat="1"/>
  </cellXfs>
  <cellStyles count="1">
    <cellStyle name="Normal" xfId="0" builtinId="0"/>
  </cellStyles>
  <dxfs count="74">
    <dxf>
      <numFmt numFmtId="164" formatCode="_-[$£-809]* #,##0.00_-;\-[$£-809]* #,##0.00_-;_-[$£-809]* &quot;-&quot;??_-;_-@_-"/>
    </dxf>
    <dxf>
      <numFmt numFmtId="164" formatCode="_-[$£-809]* #,##0.00_-;\-[$£-809]* #,##0.00_-;_-[$£-809]* &quot;-&quot;??_-;_-@_-"/>
    </dxf>
    <dxf>
      <numFmt numFmtId="164" formatCode="_-[$£-809]* #,##0.00_-;\-[$£-809]* #,##0.00_-;_-[$£-8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164" formatCode="_-[$£-809]* #,##0.00_-;\-[$£-809]* #,##0.00_-;_-[$£-809]* &quot;-&quot;??_-;_-@_-"/>
    </dxf>
    <dxf>
      <numFmt numFmtId="164" formatCode="_-[$£-809]* #,##0.00_-;\-[$£-809]* #,##0.00_-;_-[$£-8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164" formatCode="_-[$£-809]* #,##0.00_-;\-[$£-809]* #,##0.00_-;_-[$£-809]* &quot;-&quot;??_-;_-@_-"/>
    </dxf>
    <dxf>
      <numFmt numFmtId="164" formatCode="_-[$£-809]* #,##0.00_-;\-[$£-809]* #,##0.00_-;_-[$£-8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164" formatCode="_-[$£-809]* #,##0.00_-;\-[$£-809]* #,##0.00_-;_-[$£-809]* &quot;-&quot;??_-;_-@_-"/>
    </dxf>
    <dxf>
      <numFmt numFmtId="164" formatCode="_-[$£-809]* #,##0.00_-;\-[$£-809]* #,##0.00_-;_-[$£-8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164" formatCode="_-[$£-809]* #,##0.00_-;\-[$£-809]* #,##0.00_-;_-[$£-809]* &quot;-&quot;??_-;_-@_-"/>
    </dxf>
    <dxf>
      <numFmt numFmtId="164" formatCode="_-[$£-809]* #,##0.00_-;\-[$£-809]* #,##0.00_-;_-[$£-809]* &quot;-&quot;??_-;_-@_-"/>
    </dxf>
    <dxf>
      <numFmt numFmtId="164" formatCode="_-[$£-809]* #,##0.00_-;\-[$£-809]* #,##0.00_-;_-[$£-809]*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7" formatCode="#,##0.00_);\(#,##0.00\)"/>
    </dxf>
    <dxf>
      <numFmt numFmtId="164" formatCode="_-[$£-809]* #,##0.00_-;\-[$£-809]* #,##0.00_-;_-[$£-809]* &quot;-&quot;??_-;_-@_-"/>
    </dxf>
    <dxf>
      <numFmt numFmtId="7" formatCode="#,##0.00_);\(#,##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809]* #,##0.00_-;\-[$£-809]* #,##0.00_-;_-[$£-809]* &quot;-&quot;??_-;_-@_-"/>
    </dxf>
    <dxf>
      <numFmt numFmtId="164" formatCode="_-[$£-809]* #,##0.00_-;\-[$£-809]* #,##0.00_-;_-[$£-809]* &quot;-&quot;??_-;_-@_-"/>
    </dxf>
    <dxf>
      <numFmt numFmtId="164" formatCode="_-[$£-809]* #,##0.00_-;\-[$£-809]* #,##0.00_-;_-[$£-809]* &quot;-&quot;??_-;_-@_-"/>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s>
  <tableStyles count="0" defaultTableStyle="TableStyleMedium2" defaultPivotStyle="PivotStyleLight16"/>
  <colors>
    <mruColors>
      <color rgb="FFA02A93"/>
      <color rgb="FF571569"/>
      <color rgb="FFCF51EA"/>
      <color rgb="FFF4DCF6"/>
      <color rgb="FF2F0B2F"/>
      <color rgb="FFF2C2D9"/>
      <color rgb="FFEFBAEF"/>
      <color rgb="FF6D11D3"/>
      <color rgb="FFD76CE7"/>
      <color rgb="FFBB2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Graphs!$B$3</c:f>
              <c:strCache>
                <c:ptCount val="1"/>
                <c:pt idx="0">
                  <c:v>Total</c:v>
                </c:pt>
              </c:strCache>
            </c:strRef>
          </c:tx>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cat>
            <c:strRef>
              <c:f>Graphs!$A$4:$A$11</c:f>
              <c:strCache>
                <c:ptCount val="7"/>
                <c:pt idx="0">
                  <c:v>2020</c:v>
                </c:pt>
                <c:pt idx="1">
                  <c:v>2021</c:v>
                </c:pt>
                <c:pt idx="2">
                  <c:v>2022</c:v>
                </c:pt>
                <c:pt idx="3">
                  <c:v>2023</c:v>
                </c:pt>
                <c:pt idx="4">
                  <c:v>2024</c:v>
                </c:pt>
                <c:pt idx="5">
                  <c:v>2025</c:v>
                </c:pt>
                <c:pt idx="6">
                  <c:v>2026</c:v>
                </c:pt>
              </c:strCache>
            </c:strRef>
          </c:cat>
          <c:val>
            <c:numRef>
              <c:f>Graphs!$B$4:$B$11</c:f>
              <c:numCache>
                <c:formatCode>#,##0.00_);\(#,##0.00\)</c:formatCode>
                <c:ptCount val="7"/>
                <c:pt idx="0">
                  <c:v>74.5</c:v>
                </c:pt>
                <c:pt idx="1">
                  <c:v>323.21999999999997</c:v>
                </c:pt>
                <c:pt idx="2">
                  <c:v>158.97999999999996</c:v>
                </c:pt>
                <c:pt idx="3">
                  <c:v>122.85999999999999</c:v>
                </c:pt>
                <c:pt idx="4">
                  <c:v>158.14999999999998</c:v>
                </c:pt>
                <c:pt idx="5">
                  <c:v>50.489999999999995</c:v>
                </c:pt>
                <c:pt idx="6">
                  <c:v>11</c:v>
                </c:pt>
              </c:numCache>
            </c:numRef>
          </c:val>
          <c:smooth val="0"/>
          <c:extLst>
            <c:ext xmlns:c16="http://schemas.microsoft.com/office/drawing/2014/chart" uri="{C3380CC4-5D6E-409C-BE32-E72D297353CC}">
              <c16:uniqueId val="{00000000-51B9-8243-A3A2-8FDDCB4902B8}"/>
            </c:ext>
          </c:extLst>
        </c:ser>
        <c:dLbls>
          <c:showLegendKey val="0"/>
          <c:showVal val="0"/>
          <c:showCatName val="0"/>
          <c:showSerName val="0"/>
          <c:showPercent val="0"/>
          <c:showBubbleSize val="0"/>
        </c:dLbls>
        <c:marker val="1"/>
        <c:smooth val="0"/>
        <c:axId val="1283819152"/>
        <c:axId val="1283820864"/>
      </c:lineChart>
      <c:catAx>
        <c:axId val="128381915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820864"/>
        <c:crosses val="autoZero"/>
        <c:auto val="1"/>
        <c:lblAlgn val="ctr"/>
        <c:lblOffset val="100"/>
        <c:noMultiLvlLbl val="0"/>
      </c:catAx>
      <c:valAx>
        <c:axId val="128382086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solidFill>
                      <a:schemeClr val="tx1"/>
                    </a:solidFill>
                  </a:rPr>
                  <a:t>GBP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8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C2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 Sales Per UK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0C30"/>
          </a:solidFill>
          <a:ln>
            <a:solidFill>
              <a:schemeClr val="tx1"/>
            </a:solidFill>
          </a:ln>
          <a:effectLst>
            <a:outerShdw blurRad="57150" dist="19050" dir="5400000" algn="ctr" rotWithShape="0">
              <a:srgbClr val="000000">
                <a:alpha val="63000"/>
              </a:srgbClr>
            </a:outerShdw>
          </a:effectLst>
        </c:spPr>
      </c:pivotFmt>
      <c:pivotFmt>
        <c:idx val="3"/>
        <c:spPr>
          <a:solidFill>
            <a:srgbClr val="4D1255"/>
          </a:solidFill>
          <a:ln>
            <a:solidFill>
              <a:schemeClr val="tx1"/>
            </a:solidFill>
          </a:ln>
          <a:effectLst>
            <a:outerShdw blurRad="57150" dist="19050" dir="5400000" algn="ctr" rotWithShape="0">
              <a:srgbClr val="000000">
                <a:alpha val="63000"/>
              </a:srgbClr>
            </a:outerShdw>
          </a:effectLst>
        </c:spPr>
      </c:pivotFmt>
      <c:pivotFmt>
        <c:idx val="4"/>
        <c:spPr>
          <a:solidFill>
            <a:srgbClr val="571569"/>
          </a:solidFill>
          <a:ln>
            <a:solidFill>
              <a:schemeClr val="tx1"/>
            </a:solidFill>
          </a:ln>
          <a:effectLst>
            <a:outerShdw blurRad="57150" dist="19050" dir="5400000" algn="ctr" rotWithShape="0">
              <a:srgbClr val="000000">
                <a:alpha val="63000"/>
              </a:srgbClr>
            </a:outerShdw>
          </a:effectLst>
        </c:spPr>
      </c:pivotFmt>
      <c:pivotFmt>
        <c:idx val="5"/>
        <c:spPr>
          <a:solidFill>
            <a:srgbClr val="6F1792"/>
          </a:solidFill>
          <a:ln>
            <a:solidFill>
              <a:schemeClr val="tx1"/>
            </a:solidFill>
          </a:ln>
          <a:effectLst>
            <a:outerShdw blurRad="57150" dist="19050" dir="5400000" algn="ctr" rotWithShape="0">
              <a:srgbClr val="000000">
                <a:alpha val="63000"/>
              </a:srgbClr>
            </a:outerShdw>
          </a:effectLst>
        </c:spPr>
      </c:pivotFmt>
      <c:pivotFmt>
        <c:idx val="6"/>
        <c:spPr>
          <a:solidFill>
            <a:srgbClr val="7A15BA"/>
          </a:solidFill>
          <a:ln>
            <a:solidFill>
              <a:schemeClr val="tx1"/>
            </a:solidFill>
          </a:ln>
          <a:effectLst>
            <a:outerShdw blurRad="57150" dist="19050" dir="5400000" algn="ctr" rotWithShape="0">
              <a:srgbClr val="000000">
                <a:alpha val="63000"/>
              </a:srgbClr>
            </a:outerShdw>
          </a:effectLst>
        </c:spPr>
      </c:pivotFmt>
      <c:pivotFmt>
        <c:idx val="7"/>
        <c:spPr>
          <a:solidFill>
            <a:srgbClr val="AA02FC"/>
          </a:solidFill>
          <a:ln>
            <a:solidFill>
              <a:schemeClr val="tx1"/>
            </a:solidFill>
          </a:ln>
          <a:effectLst>
            <a:outerShdw blurRad="57150" dist="19050" dir="5400000" algn="ctr" rotWithShape="0">
              <a:srgbClr val="000000">
                <a:alpha val="63000"/>
              </a:srgbClr>
            </a:outerShdw>
          </a:effectLst>
        </c:spPr>
      </c:pivotFmt>
      <c:pivotFmt>
        <c:idx val="8"/>
        <c:spPr>
          <a:solidFill>
            <a:srgbClr val="BD00FF"/>
          </a:solidFill>
          <a:ln>
            <a:solidFill>
              <a:schemeClr val="tx1"/>
            </a:solidFill>
          </a:ln>
          <a:effectLst>
            <a:outerShdw blurRad="57150" dist="19050" dir="5400000" algn="ctr" rotWithShape="0">
              <a:srgbClr val="000000">
                <a:alpha val="63000"/>
              </a:srgbClr>
            </a:outerShdw>
          </a:effectLst>
        </c:spPr>
      </c:pivotFmt>
      <c:pivotFmt>
        <c:idx val="9"/>
        <c:spPr>
          <a:solidFill>
            <a:srgbClr val="CF51EA"/>
          </a:solidFill>
          <a:ln>
            <a:solidFill>
              <a:schemeClr val="tx1"/>
            </a:solidFill>
          </a:ln>
          <a:effectLst>
            <a:outerShdw blurRad="57150" dist="19050" dir="5400000" algn="ctr" rotWithShape="0">
              <a:srgbClr val="000000">
                <a:alpha val="63000"/>
              </a:srgbClr>
            </a:outerShdw>
          </a:effectLst>
        </c:spPr>
      </c:pivotFmt>
      <c:pivotFmt>
        <c:idx val="10"/>
        <c:spPr>
          <a:solidFill>
            <a:srgbClr val="D76CE7"/>
          </a:solidFill>
          <a:ln>
            <a:solidFill>
              <a:schemeClr val="tx1"/>
            </a:solidFill>
          </a:ln>
          <a:effectLst>
            <a:outerShdw blurRad="57150" dist="19050" dir="5400000" algn="ctr" rotWithShape="0">
              <a:srgbClr val="000000">
                <a:alpha val="63000"/>
              </a:srgbClr>
            </a:outerShdw>
          </a:effectLst>
        </c:spPr>
      </c:pivotFmt>
      <c:pivotFmt>
        <c:idx val="11"/>
        <c:spPr>
          <a:solidFill>
            <a:srgbClr val="EFBAEF"/>
          </a:solidFill>
          <a:ln>
            <a:solidFill>
              <a:schemeClr val="tx1"/>
            </a:solidFill>
          </a:ln>
          <a:effectLst>
            <a:outerShdw blurRad="57150" dist="19050" dir="5400000" algn="ctr" rotWithShape="0">
              <a:srgbClr val="000000">
                <a:alpha val="63000"/>
              </a:srgbClr>
            </a:outerShdw>
          </a:effectLst>
        </c:spPr>
      </c:pivotFmt>
      <c:pivotFmt>
        <c:idx val="12"/>
        <c:spPr>
          <a:solidFill>
            <a:srgbClr val="F4DCF6"/>
          </a:soli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4DCF6"/>
          </a:solidFill>
          <a:ln>
            <a:solidFill>
              <a:schemeClr val="tx1"/>
            </a:solidFill>
          </a:ln>
          <a:effectLst>
            <a:outerShdw blurRad="57150" dist="19050" dir="5400000" algn="ctr" rotWithShape="0">
              <a:srgbClr val="000000">
                <a:alpha val="63000"/>
              </a:srgbClr>
            </a:outerShdw>
          </a:effectLst>
        </c:spPr>
      </c:pivotFmt>
      <c:pivotFmt>
        <c:idx val="15"/>
        <c:spPr>
          <a:solidFill>
            <a:srgbClr val="EFBAEF"/>
          </a:solidFill>
          <a:ln>
            <a:solidFill>
              <a:schemeClr val="tx1"/>
            </a:solidFill>
          </a:ln>
          <a:effectLst>
            <a:outerShdw blurRad="57150" dist="19050" dir="5400000" algn="ctr" rotWithShape="0">
              <a:srgbClr val="000000">
                <a:alpha val="63000"/>
              </a:srgbClr>
            </a:outerShdw>
          </a:effectLst>
        </c:spPr>
      </c:pivotFmt>
      <c:pivotFmt>
        <c:idx val="16"/>
        <c:spPr>
          <a:solidFill>
            <a:srgbClr val="D76CE7"/>
          </a:solidFill>
          <a:ln>
            <a:solidFill>
              <a:schemeClr val="tx1"/>
            </a:solidFill>
          </a:ln>
          <a:effectLst>
            <a:outerShdw blurRad="57150" dist="19050" dir="5400000" algn="ctr" rotWithShape="0">
              <a:srgbClr val="000000">
                <a:alpha val="63000"/>
              </a:srgbClr>
            </a:outerShdw>
          </a:effectLst>
        </c:spPr>
      </c:pivotFmt>
      <c:pivotFmt>
        <c:idx val="17"/>
        <c:spPr>
          <a:solidFill>
            <a:srgbClr val="CF51EA"/>
          </a:solidFill>
          <a:ln>
            <a:solidFill>
              <a:schemeClr val="tx1"/>
            </a:solidFill>
          </a:ln>
          <a:effectLst>
            <a:outerShdw blurRad="57150" dist="19050" dir="5400000" algn="ctr" rotWithShape="0">
              <a:srgbClr val="000000">
                <a:alpha val="63000"/>
              </a:srgbClr>
            </a:outerShdw>
          </a:effectLst>
        </c:spPr>
      </c:pivotFmt>
      <c:pivotFmt>
        <c:idx val="18"/>
        <c:spPr>
          <a:solidFill>
            <a:srgbClr val="BD00FF"/>
          </a:solidFill>
          <a:ln>
            <a:solidFill>
              <a:schemeClr val="tx1"/>
            </a:solidFill>
          </a:ln>
          <a:effectLst>
            <a:outerShdw blurRad="57150" dist="19050" dir="5400000" algn="ctr" rotWithShape="0">
              <a:srgbClr val="000000">
                <a:alpha val="63000"/>
              </a:srgbClr>
            </a:outerShdw>
          </a:effectLst>
        </c:spPr>
      </c:pivotFmt>
      <c:pivotFmt>
        <c:idx val="19"/>
        <c:spPr>
          <a:solidFill>
            <a:srgbClr val="AA02FC"/>
          </a:solidFill>
          <a:ln>
            <a:solidFill>
              <a:schemeClr val="tx1"/>
            </a:solidFill>
          </a:ln>
          <a:effectLst>
            <a:outerShdw blurRad="57150" dist="19050" dir="5400000" algn="ctr" rotWithShape="0">
              <a:srgbClr val="000000">
                <a:alpha val="63000"/>
              </a:srgbClr>
            </a:outerShdw>
          </a:effectLst>
        </c:spPr>
      </c:pivotFmt>
      <c:pivotFmt>
        <c:idx val="20"/>
        <c:spPr>
          <a:solidFill>
            <a:srgbClr val="7A15BA"/>
          </a:solidFill>
          <a:ln>
            <a:solidFill>
              <a:schemeClr val="tx1"/>
            </a:solidFill>
          </a:ln>
          <a:effectLst>
            <a:outerShdw blurRad="57150" dist="19050" dir="5400000" algn="ctr" rotWithShape="0">
              <a:srgbClr val="000000">
                <a:alpha val="63000"/>
              </a:srgbClr>
            </a:outerShdw>
          </a:effectLst>
        </c:spPr>
      </c:pivotFmt>
      <c:pivotFmt>
        <c:idx val="21"/>
        <c:spPr>
          <a:solidFill>
            <a:srgbClr val="6F1792"/>
          </a:solidFill>
          <a:ln>
            <a:solidFill>
              <a:schemeClr val="tx1"/>
            </a:solidFill>
          </a:ln>
          <a:effectLst>
            <a:outerShdw blurRad="57150" dist="19050" dir="5400000" algn="ctr" rotWithShape="0">
              <a:srgbClr val="000000">
                <a:alpha val="63000"/>
              </a:srgbClr>
            </a:outerShdw>
          </a:effectLst>
        </c:spPr>
      </c:pivotFmt>
      <c:pivotFmt>
        <c:idx val="22"/>
        <c:spPr>
          <a:solidFill>
            <a:srgbClr val="571569"/>
          </a:solidFill>
          <a:ln>
            <a:solidFill>
              <a:schemeClr val="tx1"/>
            </a:solidFill>
          </a:ln>
          <a:effectLst>
            <a:outerShdw blurRad="57150" dist="19050" dir="5400000" algn="ctr" rotWithShape="0">
              <a:srgbClr val="000000">
                <a:alpha val="63000"/>
              </a:srgbClr>
            </a:outerShdw>
          </a:effectLst>
        </c:spPr>
      </c:pivotFmt>
      <c:pivotFmt>
        <c:idx val="23"/>
        <c:spPr>
          <a:solidFill>
            <a:srgbClr val="4D1255"/>
          </a:solidFill>
          <a:ln>
            <a:solidFill>
              <a:schemeClr val="tx1"/>
            </a:solidFill>
          </a:ln>
          <a:effectLst>
            <a:outerShdw blurRad="57150" dist="19050" dir="5400000" algn="ctr" rotWithShape="0">
              <a:srgbClr val="000000">
                <a:alpha val="63000"/>
              </a:srgbClr>
            </a:outerShdw>
          </a:effectLst>
        </c:spPr>
      </c:pivotFmt>
      <c:pivotFmt>
        <c:idx val="24"/>
        <c:spPr>
          <a:solidFill>
            <a:srgbClr val="2F0C30"/>
          </a:solidFill>
          <a:ln>
            <a:solidFill>
              <a:schemeClr val="tx1"/>
            </a:solid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4DCF6"/>
          </a:solidFill>
          <a:ln>
            <a:solidFill>
              <a:schemeClr val="tx1"/>
            </a:solidFill>
          </a:ln>
          <a:effectLst>
            <a:outerShdw blurRad="57150" dist="19050" dir="5400000" algn="ctr" rotWithShape="0">
              <a:srgbClr val="000000">
                <a:alpha val="63000"/>
              </a:srgbClr>
            </a:outerShdw>
          </a:effectLst>
        </c:spPr>
      </c:pivotFmt>
      <c:pivotFmt>
        <c:idx val="27"/>
        <c:spPr>
          <a:solidFill>
            <a:srgbClr val="EFBAEF"/>
          </a:solidFill>
          <a:ln>
            <a:solidFill>
              <a:schemeClr val="tx1"/>
            </a:solidFill>
          </a:ln>
          <a:effectLst>
            <a:outerShdw blurRad="57150" dist="19050" dir="5400000" algn="ctr" rotWithShape="0">
              <a:srgbClr val="000000">
                <a:alpha val="63000"/>
              </a:srgbClr>
            </a:outerShdw>
          </a:effectLst>
        </c:spPr>
      </c:pivotFmt>
      <c:pivotFmt>
        <c:idx val="28"/>
        <c:spPr>
          <a:solidFill>
            <a:srgbClr val="D76CE7"/>
          </a:solidFill>
          <a:ln>
            <a:solidFill>
              <a:schemeClr val="tx1"/>
            </a:solidFill>
          </a:ln>
          <a:effectLst>
            <a:outerShdw blurRad="57150" dist="19050" dir="5400000" algn="ctr" rotWithShape="0">
              <a:srgbClr val="000000">
                <a:alpha val="63000"/>
              </a:srgbClr>
            </a:outerShdw>
          </a:effectLst>
        </c:spPr>
      </c:pivotFmt>
      <c:pivotFmt>
        <c:idx val="29"/>
        <c:spPr>
          <a:solidFill>
            <a:srgbClr val="CF51EA"/>
          </a:solidFill>
          <a:ln>
            <a:solidFill>
              <a:schemeClr val="tx1"/>
            </a:solidFill>
          </a:ln>
          <a:effectLst>
            <a:outerShdw blurRad="57150" dist="19050" dir="5400000" algn="ctr" rotWithShape="0">
              <a:srgbClr val="000000">
                <a:alpha val="63000"/>
              </a:srgbClr>
            </a:outerShdw>
          </a:effectLst>
        </c:spPr>
      </c:pivotFmt>
      <c:pivotFmt>
        <c:idx val="30"/>
        <c:spPr>
          <a:solidFill>
            <a:srgbClr val="BD00FF"/>
          </a:solidFill>
          <a:ln>
            <a:solidFill>
              <a:schemeClr val="tx1"/>
            </a:solidFill>
          </a:ln>
          <a:effectLst>
            <a:outerShdw blurRad="57150" dist="19050" dir="5400000" algn="ctr" rotWithShape="0">
              <a:srgbClr val="000000">
                <a:alpha val="63000"/>
              </a:srgbClr>
            </a:outerShdw>
          </a:effectLst>
        </c:spPr>
      </c:pivotFmt>
      <c:pivotFmt>
        <c:idx val="31"/>
        <c:spPr>
          <a:solidFill>
            <a:srgbClr val="AA02FC"/>
          </a:solidFill>
          <a:ln>
            <a:solidFill>
              <a:schemeClr val="tx1"/>
            </a:solidFill>
          </a:ln>
          <a:effectLst>
            <a:outerShdw blurRad="57150" dist="19050" dir="5400000" algn="ctr" rotWithShape="0">
              <a:srgbClr val="000000">
                <a:alpha val="63000"/>
              </a:srgbClr>
            </a:outerShdw>
          </a:effectLst>
        </c:spPr>
      </c:pivotFmt>
      <c:pivotFmt>
        <c:idx val="32"/>
        <c:spPr>
          <a:solidFill>
            <a:srgbClr val="7A15BA"/>
          </a:solidFill>
          <a:ln>
            <a:solidFill>
              <a:schemeClr val="tx1"/>
            </a:solidFill>
          </a:ln>
          <a:effectLst>
            <a:outerShdw blurRad="57150" dist="19050" dir="5400000" algn="ctr" rotWithShape="0">
              <a:srgbClr val="000000">
                <a:alpha val="63000"/>
              </a:srgbClr>
            </a:outerShdw>
          </a:effectLst>
        </c:spPr>
      </c:pivotFmt>
      <c:pivotFmt>
        <c:idx val="33"/>
        <c:spPr>
          <a:solidFill>
            <a:srgbClr val="6F1792"/>
          </a:solidFill>
          <a:ln>
            <a:solidFill>
              <a:schemeClr val="tx1"/>
            </a:solidFill>
          </a:ln>
          <a:effectLst>
            <a:outerShdw blurRad="57150" dist="19050" dir="5400000" algn="ctr" rotWithShape="0">
              <a:srgbClr val="000000">
                <a:alpha val="63000"/>
              </a:srgbClr>
            </a:outerShdw>
          </a:effectLst>
        </c:spPr>
      </c:pivotFmt>
      <c:pivotFmt>
        <c:idx val="34"/>
        <c:spPr>
          <a:solidFill>
            <a:srgbClr val="571569"/>
          </a:solidFill>
          <a:ln>
            <a:solidFill>
              <a:schemeClr val="tx1"/>
            </a:solidFill>
          </a:ln>
          <a:effectLst>
            <a:outerShdw blurRad="57150" dist="19050" dir="5400000" algn="ctr" rotWithShape="0">
              <a:srgbClr val="000000">
                <a:alpha val="63000"/>
              </a:srgbClr>
            </a:outerShdw>
          </a:effectLst>
        </c:spPr>
      </c:pivotFmt>
      <c:pivotFmt>
        <c:idx val="35"/>
        <c:spPr>
          <a:solidFill>
            <a:srgbClr val="4D1255"/>
          </a:solidFill>
          <a:ln>
            <a:solidFill>
              <a:schemeClr val="tx1"/>
            </a:solidFill>
          </a:ln>
          <a:effectLst>
            <a:outerShdw blurRad="57150" dist="19050" dir="5400000" algn="ctr" rotWithShape="0">
              <a:srgbClr val="000000">
                <a:alpha val="63000"/>
              </a:srgbClr>
            </a:outerShdw>
          </a:effectLst>
        </c:spPr>
      </c:pivotFmt>
      <c:pivotFmt>
        <c:idx val="36"/>
        <c:spPr>
          <a:solidFill>
            <a:srgbClr val="2F0C30"/>
          </a:solidFill>
          <a:ln>
            <a:solidFill>
              <a:schemeClr val="tx1"/>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Graphs!$B$18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Pt>
            <c:idx val="0"/>
            <c:invertIfNegative val="0"/>
            <c:bubble3D val="0"/>
            <c:spPr>
              <a:solidFill>
                <a:srgbClr val="F4DCF6"/>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24-D24E-80F9-15202D57F6CE}"/>
              </c:ext>
            </c:extLst>
          </c:dPt>
          <c:dPt>
            <c:idx val="1"/>
            <c:invertIfNegative val="0"/>
            <c:bubble3D val="0"/>
            <c:spPr>
              <a:solidFill>
                <a:srgbClr val="EFBAEF"/>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24-D24E-80F9-15202D57F6CE}"/>
              </c:ext>
            </c:extLst>
          </c:dPt>
          <c:dPt>
            <c:idx val="2"/>
            <c:invertIfNegative val="0"/>
            <c:bubble3D val="0"/>
            <c:spPr>
              <a:solidFill>
                <a:srgbClr val="D76CE7"/>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E24-D24E-80F9-15202D57F6CE}"/>
              </c:ext>
            </c:extLst>
          </c:dPt>
          <c:dPt>
            <c:idx val="3"/>
            <c:invertIfNegative val="0"/>
            <c:bubble3D val="0"/>
            <c:spPr>
              <a:solidFill>
                <a:srgbClr val="CF51EA"/>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E24-D24E-80F9-15202D57F6CE}"/>
              </c:ext>
            </c:extLst>
          </c:dPt>
          <c:dPt>
            <c:idx val="4"/>
            <c:invertIfNegative val="0"/>
            <c:bubble3D val="0"/>
            <c:spPr>
              <a:solidFill>
                <a:srgbClr val="BD00FF"/>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E24-D24E-80F9-15202D57F6CE}"/>
              </c:ext>
            </c:extLst>
          </c:dPt>
          <c:dPt>
            <c:idx val="5"/>
            <c:invertIfNegative val="0"/>
            <c:bubble3D val="0"/>
            <c:spPr>
              <a:solidFill>
                <a:srgbClr val="AA02FC"/>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E24-D24E-80F9-15202D57F6CE}"/>
              </c:ext>
            </c:extLst>
          </c:dPt>
          <c:dPt>
            <c:idx val="6"/>
            <c:invertIfNegative val="0"/>
            <c:bubble3D val="0"/>
            <c:spPr>
              <a:solidFill>
                <a:srgbClr val="7A15BA"/>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E24-D24E-80F9-15202D57F6CE}"/>
              </c:ext>
            </c:extLst>
          </c:dPt>
          <c:dPt>
            <c:idx val="7"/>
            <c:invertIfNegative val="0"/>
            <c:bubble3D val="0"/>
            <c:spPr>
              <a:solidFill>
                <a:srgbClr val="6F1792"/>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E24-D24E-80F9-15202D57F6CE}"/>
              </c:ext>
            </c:extLst>
          </c:dPt>
          <c:dPt>
            <c:idx val="8"/>
            <c:invertIfNegative val="0"/>
            <c:bubble3D val="0"/>
            <c:spPr>
              <a:solidFill>
                <a:srgbClr val="571569"/>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E24-D24E-80F9-15202D57F6CE}"/>
              </c:ext>
            </c:extLst>
          </c:dPt>
          <c:dPt>
            <c:idx val="9"/>
            <c:invertIfNegative val="0"/>
            <c:bubble3D val="0"/>
            <c:spPr>
              <a:solidFill>
                <a:srgbClr val="4D1255"/>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E24-D24E-80F9-15202D57F6CE}"/>
              </c:ext>
            </c:extLst>
          </c:dPt>
          <c:dPt>
            <c:idx val="10"/>
            <c:invertIfNegative val="0"/>
            <c:bubble3D val="0"/>
            <c:spPr>
              <a:solidFill>
                <a:srgbClr val="2F0C30"/>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E24-D24E-80F9-15202D57F6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Graphs!$A$19:$A$30</c:f>
              <c:strCache>
                <c:ptCount val="11"/>
                <c:pt idx="0">
                  <c:v>North East</c:v>
                </c:pt>
                <c:pt idx="1">
                  <c:v>Scotland</c:v>
                </c:pt>
                <c:pt idx="2">
                  <c:v>North West</c:v>
                </c:pt>
                <c:pt idx="3">
                  <c:v>East of England</c:v>
                </c:pt>
                <c:pt idx="4">
                  <c:v>East Midlands</c:v>
                </c:pt>
                <c:pt idx="5">
                  <c:v>Northern Ireland</c:v>
                </c:pt>
                <c:pt idx="6">
                  <c:v>South West</c:v>
                </c:pt>
                <c:pt idx="7">
                  <c:v>West Midlands</c:v>
                </c:pt>
                <c:pt idx="8">
                  <c:v>South East</c:v>
                </c:pt>
                <c:pt idx="9">
                  <c:v>Yorkshire and the Humber</c:v>
                </c:pt>
                <c:pt idx="10">
                  <c:v>London</c:v>
                </c:pt>
              </c:strCache>
            </c:strRef>
          </c:cat>
          <c:val>
            <c:numRef>
              <c:f>Graphs!$B$19:$B$30</c:f>
              <c:numCache>
                <c:formatCode>_-[$£-809]* #,##0.00_-;\-[$£-809]* #,##0.00_-;_-[$£-809]* "-"??_-;_-@_-</c:formatCode>
                <c:ptCount val="11"/>
                <c:pt idx="0">
                  <c:v>11.79</c:v>
                </c:pt>
                <c:pt idx="1">
                  <c:v>21.49</c:v>
                </c:pt>
                <c:pt idx="2">
                  <c:v>30.479999999999997</c:v>
                </c:pt>
                <c:pt idx="3">
                  <c:v>32.869999999999997</c:v>
                </c:pt>
                <c:pt idx="4">
                  <c:v>32.869999999999997</c:v>
                </c:pt>
                <c:pt idx="5">
                  <c:v>34.369999999999997</c:v>
                </c:pt>
                <c:pt idx="6">
                  <c:v>46.57</c:v>
                </c:pt>
                <c:pt idx="7">
                  <c:v>60.76</c:v>
                </c:pt>
                <c:pt idx="8">
                  <c:v>94.519999999999982</c:v>
                </c:pt>
                <c:pt idx="9">
                  <c:v>96.839999999999989</c:v>
                </c:pt>
                <c:pt idx="10">
                  <c:v>130.88999999999999</c:v>
                </c:pt>
              </c:numCache>
            </c:numRef>
          </c:val>
          <c:extLst>
            <c:ext xmlns:c16="http://schemas.microsoft.com/office/drawing/2014/chart" uri="{C3380CC4-5D6E-409C-BE32-E72D297353CC}">
              <c16:uniqueId val="{00000016-DE24-D24E-80F9-15202D57F6CE}"/>
            </c:ext>
          </c:extLst>
        </c:ser>
        <c:dLbls>
          <c:dLblPos val="inEnd"/>
          <c:showLegendKey val="0"/>
          <c:showVal val="1"/>
          <c:showCatName val="0"/>
          <c:showSerName val="0"/>
          <c:showPercent val="0"/>
          <c:showBubbleSize val="0"/>
        </c:dLbls>
        <c:gapWidth val="115"/>
        <c:overlap val="-20"/>
        <c:axId val="1235418592"/>
        <c:axId val="1235420304"/>
      </c:barChart>
      <c:catAx>
        <c:axId val="1235418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5420304"/>
        <c:crosses val="autoZero"/>
        <c:auto val="1"/>
        <c:lblAlgn val="ctr"/>
        <c:lblOffset val="100"/>
        <c:noMultiLvlLbl val="0"/>
      </c:catAx>
      <c:valAx>
        <c:axId val="1235420304"/>
        <c:scaling>
          <c:orientation val="minMax"/>
        </c:scaling>
        <c:delete val="0"/>
        <c:axPos val="b"/>
        <c:majorGridlines>
          <c:spPr>
            <a:ln w="9525" cap="flat" cmpd="sng" algn="ctr">
              <a:solidFill>
                <a:schemeClr val="bg2"/>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541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C2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[SIS_Sales_Dashboard.xlsx]Graphs!PivotTable3</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Earring Sales Per Listing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rgbClr val="571569"/>
          </a:solidFill>
          <a:ln>
            <a:solidFill>
              <a:schemeClr val="tx1"/>
            </a:solid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71569"/>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71569"/>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Graphs!$B$37</c:f>
              <c:strCache>
                <c:ptCount val="1"/>
                <c:pt idx="0">
                  <c:v>Total</c:v>
                </c:pt>
              </c:strCache>
            </c:strRef>
          </c:tx>
          <c:spPr>
            <a:solidFill>
              <a:srgbClr val="571569"/>
            </a:solidFill>
            <a:ln>
              <a:solidFill>
                <a:schemeClr val="tx1"/>
              </a:solidFill>
            </a:ln>
            <a:effectLst>
              <a:outerShdw blurRad="57150" dist="19050" dir="5400000" algn="ctr" rotWithShape="0">
                <a:srgbClr val="000000">
                  <a:alpha val="63000"/>
                </a:srgbClr>
              </a:outerShdw>
            </a:effectLst>
          </c:spPr>
          <c:invertIfNegative val="0"/>
          <c:cat>
            <c:strRef>
              <c:f>Graphs!$A$38:$A$45</c:f>
              <c:strCache>
                <c:ptCount val="7"/>
                <c:pt idx="0">
                  <c:v>Crochet Sunflower Earrings</c:v>
                </c:pt>
                <c:pt idx="1">
                  <c:v>Small Crochet Rainbow Earrings</c:v>
                </c:pt>
                <c:pt idx="2">
                  <c:v>Rainbow Flower Smileys</c:v>
                </c:pt>
                <c:pt idx="3">
                  <c:v>Crochet Tiered Rainbow Flower Earrings</c:v>
                </c:pt>
                <c:pt idx="4">
                  <c:v>Crochet Rainbow Earrings</c:v>
                </c:pt>
                <c:pt idx="5">
                  <c:v>Crochet Strawberry Earrings</c:v>
                </c:pt>
                <c:pt idx="6">
                  <c:v>Smiley &amp; Sad daisy Crochet Earrings</c:v>
                </c:pt>
              </c:strCache>
            </c:strRef>
          </c:cat>
          <c:val>
            <c:numRef>
              <c:f>Graphs!$B$38:$B$45</c:f>
              <c:numCache>
                <c:formatCode>_-[$£-809]* #,##0.00_-;\-[$£-809]* #,##0.00_-;_-[$£-809]* "-"??_-;_-@_-</c:formatCode>
                <c:ptCount val="7"/>
                <c:pt idx="0">
                  <c:v>17.489999999999998</c:v>
                </c:pt>
                <c:pt idx="1">
                  <c:v>29.63</c:v>
                </c:pt>
                <c:pt idx="2">
                  <c:v>47.29</c:v>
                </c:pt>
                <c:pt idx="3">
                  <c:v>88.81</c:v>
                </c:pt>
                <c:pt idx="4">
                  <c:v>120.75999999999999</c:v>
                </c:pt>
                <c:pt idx="5">
                  <c:v>180.98999999999998</c:v>
                </c:pt>
                <c:pt idx="6">
                  <c:v>414.23000000000008</c:v>
                </c:pt>
              </c:numCache>
            </c:numRef>
          </c:val>
          <c:extLst>
            <c:ext xmlns:c16="http://schemas.microsoft.com/office/drawing/2014/chart" uri="{C3380CC4-5D6E-409C-BE32-E72D297353CC}">
              <c16:uniqueId val="{00000000-0EAA-DA41-910A-8FFE8A141C4A}"/>
            </c:ext>
          </c:extLst>
        </c:ser>
        <c:dLbls>
          <c:showLegendKey val="0"/>
          <c:showVal val="0"/>
          <c:showCatName val="0"/>
          <c:showSerName val="0"/>
          <c:showPercent val="0"/>
          <c:showBubbleSize val="0"/>
        </c:dLbls>
        <c:gapWidth val="115"/>
        <c:overlap val="-20"/>
        <c:axId val="1492243344"/>
        <c:axId val="1493094800"/>
      </c:barChart>
      <c:catAx>
        <c:axId val="14922433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3094800"/>
        <c:crosses val="autoZero"/>
        <c:auto val="1"/>
        <c:lblAlgn val="ctr"/>
        <c:lblOffset val="100"/>
        <c:noMultiLvlLbl val="0"/>
      </c:catAx>
      <c:valAx>
        <c:axId val="1493094800"/>
        <c:scaling>
          <c:orientation val="minMax"/>
        </c:scaling>
        <c:delete val="0"/>
        <c:axPos val="b"/>
        <c:majorGridlines>
          <c:spPr>
            <a:ln w="9525" cap="flat" cmpd="sng" algn="ctr">
              <a:solidFill>
                <a:schemeClr val="bg1"/>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4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C2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a:t>
            </a:r>
            <a:r>
              <a:rPr lang="en-US" baseline="0">
                <a:solidFill>
                  <a:schemeClr val="tx1"/>
                </a:solidFill>
              </a:rPr>
              <a:t> Sales Over 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pivotFmt>
      <c:pivotFmt>
        <c:idx val="3"/>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Graphs!$B$3</c:f>
              <c:strCache>
                <c:ptCount val="1"/>
                <c:pt idx="0">
                  <c:v>Total</c:v>
                </c:pt>
              </c:strCache>
            </c:strRef>
          </c:tx>
          <c:spPr>
            <a:ln w="34925" cap="rnd">
              <a:solidFill>
                <a:srgbClr val="571569"/>
              </a:solidFill>
              <a:round/>
            </a:ln>
            <a:effectLst>
              <a:outerShdw blurRad="57150" dist="19050" dir="5400000" algn="ctr" rotWithShape="0">
                <a:srgbClr val="000000">
                  <a:alpha val="63000"/>
                </a:srgbClr>
              </a:outerShdw>
            </a:effectLst>
          </c:spPr>
          <c:marker>
            <c:symbol val="circle"/>
            <c:size val="6"/>
            <c:spPr>
              <a:solidFill>
                <a:srgbClr val="571569"/>
              </a:solidFill>
              <a:ln w="9525">
                <a:solidFill>
                  <a:srgbClr val="571569"/>
                </a:solidFill>
                <a:round/>
              </a:ln>
              <a:effectLst>
                <a:outerShdw blurRad="57150" dist="19050" dir="5400000" algn="ctr" rotWithShape="0">
                  <a:srgbClr val="000000">
                    <a:alpha val="63000"/>
                  </a:srgbClr>
                </a:outerShdw>
              </a:effectLst>
            </c:spPr>
          </c:marker>
          <c:cat>
            <c:strRef>
              <c:f>Graphs!$A$4:$A$11</c:f>
              <c:strCache>
                <c:ptCount val="7"/>
                <c:pt idx="0">
                  <c:v>2020</c:v>
                </c:pt>
                <c:pt idx="1">
                  <c:v>2021</c:v>
                </c:pt>
                <c:pt idx="2">
                  <c:v>2022</c:v>
                </c:pt>
                <c:pt idx="3">
                  <c:v>2023</c:v>
                </c:pt>
                <c:pt idx="4">
                  <c:v>2024</c:v>
                </c:pt>
                <c:pt idx="5">
                  <c:v>2025</c:v>
                </c:pt>
                <c:pt idx="6">
                  <c:v>2026</c:v>
                </c:pt>
              </c:strCache>
            </c:strRef>
          </c:cat>
          <c:val>
            <c:numRef>
              <c:f>Graphs!$B$4:$B$11</c:f>
              <c:numCache>
                <c:formatCode>#,##0.00_);\(#,##0.00\)</c:formatCode>
                <c:ptCount val="7"/>
                <c:pt idx="0">
                  <c:v>74.5</c:v>
                </c:pt>
                <c:pt idx="1">
                  <c:v>323.21999999999997</c:v>
                </c:pt>
                <c:pt idx="2">
                  <c:v>158.97999999999996</c:v>
                </c:pt>
                <c:pt idx="3">
                  <c:v>122.85999999999999</c:v>
                </c:pt>
                <c:pt idx="4">
                  <c:v>158.14999999999998</c:v>
                </c:pt>
                <c:pt idx="5">
                  <c:v>50.489999999999995</c:v>
                </c:pt>
                <c:pt idx="6">
                  <c:v>11</c:v>
                </c:pt>
              </c:numCache>
            </c:numRef>
          </c:val>
          <c:smooth val="0"/>
          <c:extLst>
            <c:ext xmlns:c16="http://schemas.microsoft.com/office/drawing/2014/chart" uri="{C3380CC4-5D6E-409C-BE32-E72D297353CC}">
              <c16:uniqueId val="{00000002-2264-C747-8230-70752A8A75A6}"/>
            </c:ext>
          </c:extLst>
        </c:ser>
        <c:dLbls>
          <c:showLegendKey val="0"/>
          <c:showVal val="0"/>
          <c:showCatName val="0"/>
          <c:showSerName val="0"/>
          <c:showPercent val="0"/>
          <c:showBubbleSize val="0"/>
        </c:dLbls>
        <c:marker val="1"/>
        <c:smooth val="0"/>
        <c:axId val="1283819152"/>
        <c:axId val="1283820864"/>
      </c:lineChart>
      <c:catAx>
        <c:axId val="1283819152"/>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820864"/>
        <c:crosses val="autoZero"/>
        <c:auto val="1"/>
        <c:lblAlgn val="ctr"/>
        <c:lblOffset val="100"/>
        <c:noMultiLvlLbl val="0"/>
      </c:catAx>
      <c:valAx>
        <c:axId val="128382086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solidFill>
                      <a:schemeClr val="tx1"/>
                    </a:solidFill>
                  </a:rPr>
                  <a:t>GBP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38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C2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Total Sales Per UK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0C30"/>
          </a:solidFill>
          <a:ln>
            <a:solidFill>
              <a:schemeClr val="tx1"/>
            </a:solidFill>
          </a:ln>
          <a:effectLst>
            <a:outerShdw blurRad="57150" dist="19050" dir="5400000" algn="ctr" rotWithShape="0">
              <a:srgbClr val="000000">
                <a:alpha val="63000"/>
              </a:srgbClr>
            </a:outerShdw>
          </a:effectLst>
        </c:spPr>
      </c:pivotFmt>
      <c:pivotFmt>
        <c:idx val="3"/>
        <c:spPr>
          <a:solidFill>
            <a:srgbClr val="4D1255"/>
          </a:solidFill>
          <a:ln>
            <a:solidFill>
              <a:schemeClr val="tx1"/>
            </a:solidFill>
          </a:ln>
          <a:effectLst>
            <a:outerShdw blurRad="57150" dist="19050" dir="5400000" algn="ctr" rotWithShape="0">
              <a:srgbClr val="000000">
                <a:alpha val="63000"/>
              </a:srgbClr>
            </a:outerShdw>
          </a:effectLst>
        </c:spPr>
      </c:pivotFmt>
      <c:pivotFmt>
        <c:idx val="4"/>
        <c:spPr>
          <a:solidFill>
            <a:srgbClr val="571569"/>
          </a:solidFill>
          <a:ln>
            <a:solidFill>
              <a:schemeClr val="tx1"/>
            </a:solidFill>
          </a:ln>
          <a:effectLst>
            <a:outerShdw blurRad="57150" dist="19050" dir="5400000" algn="ctr" rotWithShape="0">
              <a:srgbClr val="000000">
                <a:alpha val="63000"/>
              </a:srgbClr>
            </a:outerShdw>
          </a:effectLst>
        </c:spPr>
      </c:pivotFmt>
      <c:pivotFmt>
        <c:idx val="5"/>
        <c:spPr>
          <a:solidFill>
            <a:srgbClr val="6F1792"/>
          </a:solidFill>
          <a:ln>
            <a:solidFill>
              <a:schemeClr val="tx1"/>
            </a:solidFill>
          </a:ln>
          <a:effectLst>
            <a:outerShdw blurRad="57150" dist="19050" dir="5400000" algn="ctr" rotWithShape="0">
              <a:srgbClr val="000000">
                <a:alpha val="63000"/>
              </a:srgbClr>
            </a:outerShdw>
          </a:effectLst>
        </c:spPr>
      </c:pivotFmt>
      <c:pivotFmt>
        <c:idx val="6"/>
        <c:spPr>
          <a:solidFill>
            <a:srgbClr val="7A15BA"/>
          </a:solidFill>
          <a:ln>
            <a:solidFill>
              <a:schemeClr val="tx1"/>
            </a:solidFill>
          </a:ln>
          <a:effectLst>
            <a:outerShdw blurRad="57150" dist="19050" dir="5400000" algn="ctr" rotWithShape="0">
              <a:srgbClr val="000000">
                <a:alpha val="63000"/>
              </a:srgbClr>
            </a:outerShdw>
          </a:effectLst>
        </c:spPr>
      </c:pivotFmt>
      <c:pivotFmt>
        <c:idx val="7"/>
        <c:spPr>
          <a:solidFill>
            <a:srgbClr val="AA02FC"/>
          </a:solidFill>
          <a:ln>
            <a:solidFill>
              <a:schemeClr val="tx1"/>
            </a:solidFill>
          </a:ln>
          <a:effectLst>
            <a:outerShdw blurRad="57150" dist="19050" dir="5400000" algn="ctr" rotWithShape="0">
              <a:srgbClr val="000000">
                <a:alpha val="63000"/>
              </a:srgbClr>
            </a:outerShdw>
          </a:effectLst>
        </c:spPr>
      </c:pivotFmt>
      <c:pivotFmt>
        <c:idx val="8"/>
        <c:spPr>
          <a:solidFill>
            <a:srgbClr val="BD00FF"/>
          </a:solidFill>
          <a:ln>
            <a:solidFill>
              <a:schemeClr val="tx1"/>
            </a:solidFill>
          </a:ln>
          <a:effectLst>
            <a:outerShdw blurRad="57150" dist="19050" dir="5400000" algn="ctr" rotWithShape="0">
              <a:srgbClr val="000000">
                <a:alpha val="63000"/>
              </a:srgbClr>
            </a:outerShdw>
          </a:effectLst>
        </c:spPr>
      </c:pivotFmt>
      <c:pivotFmt>
        <c:idx val="9"/>
        <c:spPr>
          <a:solidFill>
            <a:srgbClr val="CF51EA"/>
          </a:solidFill>
          <a:ln>
            <a:solidFill>
              <a:schemeClr val="tx1"/>
            </a:solidFill>
          </a:ln>
          <a:effectLst>
            <a:outerShdw blurRad="57150" dist="19050" dir="5400000" algn="ctr" rotWithShape="0">
              <a:srgbClr val="000000">
                <a:alpha val="63000"/>
              </a:srgbClr>
            </a:outerShdw>
          </a:effectLst>
        </c:spPr>
      </c:pivotFmt>
      <c:pivotFmt>
        <c:idx val="10"/>
        <c:spPr>
          <a:solidFill>
            <a:srgbClr val="D76CE7"/>
          </a:solidFill>
          <a:ln>
            <a:solidFill>
              <a:schemeClr val="tx1"/>
            </a:solidFill>
          </a:ln>
          <a:effectLst>
            <a:outerShdw blurRad="57150" dist="19050" dir="5400000" algn="ctr" rotWithShape="0">
              <a:srgbClr val="000000">
                <a:alpha val="63000"/>
              </a:srgbClr>
            </a:outerShdw>
          </a:effectLst>
        </c:spPr>
      </c:pivotFmt>
      <c:pivotFmt>
        <c:idx val="11"/>
        <c:spPr>
          <a:solidFill>
            <a:srgbClr val="EFBAEF"/>
          </a:solidFill>
          <a:ln>
            <a:solidFill>
              <a:schemeClr val="tx1"/>
            </a:solidFill>
          </a:ln>
          <a:effectLst>
            <a:outerShdw blurRad="57150" dist="19050" dir="5400000" algn="ctr" rotWithShape="0">
              <a:srgbClr val="000000">
                <a:alpha val="63000"/>
              </a:srgbClr>
            </a:outerShdw>
          </a:effectLst>
        </c:spPr>
      </c:pivotFmt>
      <c:pivotFmt>
        <c:idx val="12"/>
        <c:spPr>
          <a:solidFill>
            <a:srgbClr val="F4DCF6"/>
          </a:solidFill>
          <a:ln>
            <a:solidFill>
              <a:schemeClr val="tx1"/>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Graphs!$B$18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invertIfNegative val="0"/>
          <c:dPt>
            <c:idx val="0"/>
            <c:invertIfNegative val="0"/>
            <c:bubble3D val="0"/>
            <c:spPr>
              <a:solidFill>
                <a:srgbClr val="F4DCF6"/>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25-6340-9DA1-A1A92A4CDF0A}"/>
              </c:ext>
            </c:extLst>
          </c:dPt>
          <c:dPt>
            <c:idx val="1"/>
            <c:invertIfNegative val="0"/>
            <c:bubble3D val="0"/>
            <c:spPr>
              <a:solidFill>
                <a:srgbClr val="EFBAEF"/>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E25-6340-9DA1-A1A92A4CDF0A}"/>
              </c:ext>
            </c:extLst>
          </c:dPt>
          <c:dPt>
            <c:idx val="2"/>
            <c:invertIfNegative val="0"/>
            <c:bubble3D val="0"/>
            <c:spPr>
              <a:solidFill>
                <a:srgbClr val="D76CE7"/>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25-6340-9DA1-A1A92A4CDF0A}"/>
              </c:ext>
            </c:extLst>
          </c:dPt>
          <c:dPt>
            <c:idx val="3"/>
            <c:invertIfNegative val="0"/>
            <c:bubble3D val="0"/>
            <c:spPr>
              <a:solidFill>
                <a:srgbClr val="CF51EA"/>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E25-6340-9DA1-A1A92A4CDF0A}"/>
              </c:ext>
            </c:extLst>
          </c:dPt>
          <c:dPt>
            <c:idx val="4"/>
            <c:invertIfNegative val="0"/>
            <c:bubble3D val="0"/>
            <c:spPr>
              <a:solidFill>
                <a:srgbClr val="BD00FF"/>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25-6340-9DA1-A1A92A4CDF0A}"/>
              </c:ext>
            </c:extLst>
          </c:dPt>
          <c:dPt>
            <c:idx val="5"/>
            <c:invertIfNegative val="0"/>
            <c:bubble3D val="0"/>
            <c:spPr>
              <a:solidFill>
                <a:srgbClr val="AA02FC"/>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E25-6340-9DA1-A1A92A4CDF0A}"/>
              </c:ext>
            </c:extLst>
          </c:dPt>
          <c:dPt>
            <c:idx val="6"/>
            <c:invertIfNegative val="0"/>
            <c:bubble3D val="0"/>
            <c:spPr>
              <a:solidFill>
                <a:srgbClr val="7A15BA"/>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25-6340-9DA1-A1A92A4CDF0A}"/>
              </c:ext>
            </c:extLst>
          </c:dPt>
          <c:dPt>
            <c:idx val="7"/>
            <c:invertIfNegative val="0"/>
            <c:bubble3D val="0"/>
            <c:spPr>
              <a:solidFill>
                <a:srgbClr val="6F1792"/>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E25-6340-9DA1-A1A92A4CDF0A}"/>
              </c:ext>
            </c:extLst>
          </c:dPt>
          <c:dPt>
            <c:idx val="8"/>
            <c:invertIfNegative val="0"/>
            <c:bubble3D val="0"/>
            <c:spPr>
              <a:solidFill>
                <a:srgbClr val="571569"/>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25-6340-9DA1-A1A92A4CDF0A}"/>
              </c:ext>
            </c:extLst>
          </c:dPt>
          <c:dPt>
            <c:idx val="9"/>
            <c:invertIfNegative val="0"/>
            <c:bubble3D val="0"/>
            <c:spPr>
              <a:solidFill>
                <a:srgbClr val="4D1255"/>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E25-6340-9DA1-A1A92A4CDF0A}"/>
              </c:ext>
            </c:extLst>
          </c:dPt>
          <c:dPt>
            <c:idx val="10"/>
            <c:invertIfNegative val="0"/>
            <c:bubble3D val="0"/>
            <c:spPr>
              <a:solidFill>
                <a:srgbClr val="2F0C30"/>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25-6340-9DA1-A1A92A4CDF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Graphs!$A$19:$A$30</c:f>
              <c:strCache>
                <c:ptCount val="11"/>
                <c:pt idx="0">
                  <c:v>North East</c:v>
                </c:pt>
                <c:pt idx="1">
                  <c:v>Scotland</c:v>
                </c:pt>
                <c:pt idx="2">
                  <c:v>North West</c:v>
                </c:pt>
                <c:pt idx="3">
                  <c:v>East of England</c:v>
                </c:pt>
                <c:pt idx="4">
                  <c:v>East Midlands</c:v>
                </c:pt>
                <c:pt idx="5">
                  <c:v>Northern Ireland</c:v>
                </c:pt>
                <c:pt idx="6">
                  <c:v>South West</c:v>
                </c:pt>
                <c:pt idx="7">
                  <c:v>West Midlands</c:v>
                </c:pt>
                <c:pt idx="8">
                  <c:v>South East</c:v>
                </c:pt>
                <c:pt idx="9">
                  <c:v>Yorkshire and the Humber</c:v>
                </c:pt>
                <c:pt idx="10">
                  <c:v>London</c:v>
                </c:pt>
              </c:strCache>
            </c:strRef>
          </c:cat>
          <c:val>
            <c:numRef>
              <c:f>Graphs!$B$19:$B$30</c:f>
              <c:numCache>
                <c:formatCode>_-[$£-809]* #,##0.00_-;\-[$£-809]* #,##0.00_-;_-[$£-809]* "-"??_-;_-@_-</c:formatCode>
                <c:ptCount val="11"/>
                <c:pt idx="0">
                  <c:v>11.79</c:v>
                </c:pt>
                <c:pt idx="1">
                  <c:v>21.49</c:v>
                </c:pt>
                <c:pt idx="2">
                  <c:v>30.479999999999997</c:v>
                </c:pt>
                <c:pt idx="3">
                  <c:v>32.869999999999997</c:v>
                </c:pt>
                <c:pt idx="4">
                  <c:v>32.869999999999997</c:v>
                </c:pt>
                <c:pt idx="5">
                  <c:v>34.369999999999997</c:v>
                </c:pt>
                <c:pt idx="6">
                  <c:v>46.57</c:v>
                </c:pt>
                <c:pt idx="7">
                  <c:v>60.76</c:v>
                </c:pt>
                <c:pt idx="8">
                  <c:v>94.519999999999982</c:v>
                </c:pt>
                <c:pt idx="9">
                  <c:v>96.839999999999989</c:v>
                </c:pt>
                <c:pt idx="10">
                  <c:v>130.88999999999999</c:v>
                </c:pt>
              </c:numCache>
            </c:numRef>
          </c:val>
          <c:extLst>
            <c:ext xmlns:c16="http://schemas.microsoft.com/office/drawing/2014/chart" uri="{C3380CC4-5D6E-409C-BE32-E72D297353CC}">
              <c16:uniqueId val="{00000002-AE25-6340-9DA1-A1A92A4CDF0A}"/>
            </c:ext>
          </c:extLst>
        </c:ser>
        <c:dLbls>
          <c:dLblPos val="inEnd"/>
          <c:showLegendKey val="0"/>
          <c:showVal val="1"/>
          <c:showCatName val="0"/>
          <c:showSerName val="0"/>
          <c:showPercent val="0"/>
          <c:showBubbleSize val="0"/>
        </c:dLbls>
        <c:gapWidth val="115"/>
        <c:overlap val="-20"/>
        <c:axId val="1235418592"/>
        <c:axId val="1235420304"/>
      </c:barChart>
      <c:catAx>
        <c:axId val="1235418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5420304"/>
        <c:crosses val="autoZero"/>
        <c:auto val="1"/>
        <c:lblAlgn val="ctr"/>
        <c:lblOffset val="100"/>
        <c:noMultiLvlLbl val="0"/>
      </c:catAx>
      <c:valAx>
        <c:axId val="1235420304"/>
        <c:scaling>
          <c:orientation val="minMax"/>
        </c:scaling>
        <c:delete val="0"/>
        <c:axPos val="b"/>
        <c:majorGridlines>
          <c:spPr>
            <a:ln w="9525" cap="flat" cmpd="sng" algn="ctr">
              <a:solidFill>
                <a:schemeClr val="bg2"/>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541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C2D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[SIS_Sales_Dashboard.xlsx]Graphs!PivotTable3</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Earring Sales Per Listing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solidFill>
            <a:srgbClr val="571569"/>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Graphs!$B$37</c:f>
              <c:strCache>
                <c:ptCount val="1"/>
                <c:pt idx="0">
                  <c:v>Total</c:v>
                </c:pt>
              </c:strCache>
            </c:strRef>
          </c:tx>
          <c:spPr>
            <a:solidFill>
              <a:srgbClr val="571569"/>
            </a:solidFill>
            <a:ln>
              <a:solidFill>
                <a:schemeClr val="tx1"/>
              </a:solidFill>
            </a:ln>
            <a:effectLst>
              <a:outerShdw blurRad="57150" dist="19050" dir="5400000" algn="ctr" rotWithShape="0">
                <a:srgbClr val="000000">
                  <a:alpha val="63000"/>
                </a:srgbClr>
              </a:outerShdw>
            </a:effectLst>
          </c:spPr>
          <c:invertIfNegative val="0"/>
          <c:cat>
            <c:strRef>
              <c:f>Graphs!$A$38:$A$45</c:f>
              <c:strCache>
                <c:ptCount val="7"/>
                <c:pt idx="0">
                  <c:v>Crochet Sunflower Earrings</c:v>
                </c:pt>
                <c:pt idx="1">
                  <c:v>Small Crochet Rainbow Earrings</c:v>
                </c:pt>
                <c:pt idx="2">
                  <c:v>Rainbow Flower Smileys</c:v>
                </c:pt>
                <c:pt idx="3">
                  <c:v>Crochet Tiered Rainbow Flower Earrings</c:v>
                </c:pt>
                <c:pt idx="4">
                  <c:v>Crochet Rainbow Earrings</c:v>
                </c:pt>
                <c:pt idx="5">
                  <c:v>Crochet Strawberry Earrings</c:v>
                </c:pt>
                <c:pt idx="6">
                  <c:v>Smiley &amp; Sad daisy Crochet Earrings</c:v>
                </c:pt>
              </c:strCache>
            </c:strRef>
          </c:cat>
          <c:val>
            <c:numRef>
              <c:f>Graphs!$B$38:$B$45</c:f>
              <c:numCache>
                <c:formatCode>_-[$£-809]* #,##0.00_-;\-[$£-809]* #,##0.00_-;_-[$£-809]* "-"??_-;_-@_-</c:formatCode>
                <c:ptCount val="7"/>
                <c:pt idx="0">
                  <c:v>17.489999999999998</c:v>
                </c:pt>
                <c:pt idx="1">
                  <c:v>29.63</c:v>
                </c:pt>
                <c:pt idx="2">
                  <c:v>47.29</c:v>
                </c:pt>
                <c:pt idx="3">
                  <c:v>88.81</c:v>
                </c:pt>
                <c:pt idx="4">
                  <c:v>120.75999999999999</c:v>
                </c:pt>
                <c:pt idx="5">
                  <c:v>180.98999999999998</c:v>
                </c:pt>
                <c:pt idx="6">
                  <c:v>414.23000000000008</c:v>
                </c:pt>
              </c:numCache>
            </c:numRef>
          </c:val>
          <c:extLst>
            <c:ext xmlns:c16="http://schemas.microsoft.com/office/drawing/2014/chart" uri="{C3380CC4-5D6E-409C-BE32-E72D297353CC}">
              <c16:uniqueId val="{00000000-D2BE-FF42-865A-DC1E9C993DEA}"/>
            </c:ext>
          </c:extLst>
        </c:ser>
        <c:dLbls>
          <c:showLegendKey val="0"/>
          <c:showVal val="0"/>
          <c:showCatName val="0"/>
          <c:showSerName val="0"/>
          <c:showPercent val="0"/>
          <c:showBubbleSize val="0"/>
        </c:dLbls>
        <c:gapWidth val="115"/>
        <c:overlap val="-20"/>
        <c:axId val="1492243344"/>
        <c:axId val="1493094800"/>
      </c:barChart>
      <c:catAx>
        <c:axId val="14922433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93094800"/>
        <c:crosses val="autoZero"/>
        <c:auto val="1"/>
        <c:lblAlgn val="ctr"/>
        <c:lblOffset val="100"/>
        <c:noMultiLvlLbl val="0"/>
      </c:catAx>
      <c:valAx>
        <c:axId val="1493094800"/>
        <c:scaling>
          <c:orientation val="minMax"/>
        </c:scaling>
        <c:delete val="0"/>
        <c:axPos val="b"/>
        <c:majorGridlines>
          <c:spPr>
            <a:ln w="9525" cap="flat" cmpd="sng" algn="ctr">
              <a:solidFill>
                <a:schemeClr val="bg1"/>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4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C2D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1864</xdr:colOff>
      <xdr:row>14</xdr:row>
      <xdr:rowOff>63012</xdr:rowOff>
    </xdr:from>
    <xdr:to>
      <xdr:col>14</xdr:col>
      <xdr:colOff>3984</xdr:colOff>
      <xdr:row>42</xdr:row>
      <xdr:rowOff>1</xdr:rowOff>
    </xdr:to>
    <xdr:graphicFrame macro="">
      <xdr:nvGraphicFramePr>
        <xdr:cNvPr id="2" name="Chart 1">
          <a:extLst>
            <a:ext uri="{FF2B5EF4-FFF2-40B4-BE49-F238E27FC236}">
              <a16:creationId xmlns:a16="http://schemas.microsoft.com/office/drawing/2014/main" id="{5952E843-1D10-C048-A3B9-5C6D6B970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0</xdr:colOff>
      <xdr:row>31</xdr:row>
      <xdr:rowOff>0</xdr:rowOff>
    </xdr:from>
    <xdr:to>
      <xdr:col>23</xdr:col>
      <xdr:colOff>1</xdr:colOff>
      <xdr:row>42</xdr:row>
      <xdr:rowOff>0</xdr:rowOff>
    </xdr:to>
    <xdr:graphicFrame macro="">
      <xdr:nvGraphicFramePr>
        <xdr:cNvPr id="3" name="Chart 2">
          <a:extLst>
            <a:ext uri="{FF2B5EF4-FFF2-40B4-BE49-F238E27FC236}">
              <a16:creationId xmlns:a16="http://schemas.microsoft.com/office/drawing/2014/main" id="{B3BACBE8-C617-214B-B15F-F86A63A8A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0</xdr:colOff>
      <xdr:row>19</xdr:row>
      <xdr:rowOff>1628</xdr:rowOff>
    </xdr:from>
    <xdr:to>
      <xdr:col>23</xdr:col>
      <xdr:colOff>0</xdr:colOff>
      <xdr:row>30</xdr:row>
      <xdr:rowOff>0</xdr:rowOff>
    </xdr:to>
    <xdr:graphicFrame macro="">
      <xdr:nvGraphicFramePr>
        <xdr:cNvPr id="4" name="Chart 3">
          <a:extLst>
            <a:ext uri="{FF2B5EF4-FFF2-40B4-BE49-F238E27FC236}">
              <a16:creationId xmlns:a16="http://schemas.microsoft.com/office/drawing/2014/main" id="{7258C64C-41C3-A249-8B79-A886F4968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138231</xdr:colOff>
      <xdr:row>6</xdr:row>
      <xdr:rowOff>4528</xdr:rowOff>
    </xdr:from>
    <xdr:to>
      <xdr:col>14</xdr:col>
      <xdr:colOff>823</xdr:colOff>
      <xdr:row>13</xdr:row>
      <xdr:rowOff>198709</xdr:rowOff>
    </xdr:to>
    <mc:AlternateContent xmlns:mc="http://schemas.openxmlformats.org/markup-compatibility/2006" xmlns:tsle="http://schemas.microsoft.com/office/drawing/2012/timeslicer">
      <mc:Choice Requires="tsle">
        <xdr:graphicFrame macro="">
          <xdr:nvGraphicFramePr>
            <xdr:cNvPr id="6" name="Sale Date">
              <a:extLst>
                <a:ext uri="{FF2B5EF4-FFF2-40B4-BE49-F238E27FC236}">
                  <a16:creationId xmlns:a16="http://schemas.microsoft.com/office/drawing/2014/main" id="{5CC99B95-6C90-1D7F-29E9-FF3E39624573}"/>
                </a:ext>
              </a:extLst>
            </xdr:cNvPr>
            <xdr:cNvGraphicFramePr/>
          </xdr:nvGraphicFramePr>
          <xdr:xfrm>
            <a:off x="0" y="0"/>
            <a:ext cx="0" cy="0"/>
          </xdr:xfrm>
          <a:graphic>
            <a:graphicData uri="http://schemas.microsoft.com/office/drawing/2012/timeslicer">
              <tsle:timeslicer name="Sale Date"/>
            </a:graphicData>
          </a:graphic>
        </xdr:graphicFrame>
      </mc:Choice>
      <mc:Fallback xmlns="">
        <xdr:sp macro="" textlink="">
          <xdr:nvSpPr>
            <xdr:cNvPr id="0" name=""/>
            <xdr:cNvSpPr>
              <a:spLocks noTextEdit="1"/>
            </xdr:cNvSpPr>
          </xdr:nvSpPr>
          <xdr:spPr>
            <a:xfrm>
              <a:off x="138231" y="1093099"/>
              <a:ext cx="10759646" cy="148686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fLocksWithSheet="0"/>
  </xdr:twoCellAnchor>
  <xdr:twoCellAnchor editAs="oneCell">
    <xdr:from>
      <xdr:col>15</xdr:col>
      <xdr:colOff>1</xdr:colOff>
      <xdr:row>6</xdr:row>
      <xdr:rowOff>1407</xdr:rowOff>
    </xdr:from>
    <xdr:to>
      <xdr:col>23</xdr:col>
      <xdr:colOff>1</xdr:colOff>
      <xdr:row>9</xdr:row>
      <xdr:rowOff>1255</xdr:rowOff>
    </xdr:to>
    <mc:AlternateContent xmlns:mc="http://schemas.openxmlformats.org/markup-compatibility/2006" xmlns:a14="http://schemas.microsoft.com/office/drawing/2010/main">
      <mc:Choice Requires="a14">
        <xdr:graphicFrame macro="">
          <xdr:nvGraphicFramePr>
            <xdr:cNvPr id="10" name="Hardware 1">
              <a:extLst>
                <a:ext uri="{FF2B5EF4-FFF2-40B4-BE49-F238E27FC236}">
                  <a16:creationId xmlns:a16="http://schemas.microsoft.com/office/drawing/2014/main" id="{96B39F56-6023-FB49-BC14-F3EA323A9BD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Hardware 1"/>
            </a:graphicData>
          </a:graphic>
        </xdr:graphicFrame>
      </mc:Choice>
      <mc:Fallback xmlns="">
        <xdr:sp macro="" textlink="">
          <xdr:nvSpPr>
            <xdr:cNvPr id="0" name=""/>
            <xdr:cNvSpPr>
              <a:spLocks noTextEdit="1"/>
            </xdr:cNvSpPr>
          </xdr:nvSpPr>
          <xdr:spPr>
            <a:xfrm>
              <a:off x="11033126" y="1089978"/>
              <a:ext cx="5930446" cy="6121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5546</xdr:colOff>
      <xdr:row>10</xdr:row>
      <xdr:rowOff>1407</xdr:rowOff>
    </xdr:from>
    <xdr:to>
      <xdr:col>18</xdr:col>
      <xdr:colOff>2453</xdr:colOff>
      <xdr:row>18</xdr:row>
      <xdr:rowOff>1</xdr:rowOff>
    </xdr:to>
    <mc:AlternateContent xmlns:mc="http://schemas.openxmlformats.org/markup-compatibility/2006" xmlns:a14="http://schemas.microsoft.com/office/drawing/2010/main">
      <mc:Choice Requires="a14">
        <xdr:graphicFrame macro="">
          <xdr:nvGraphicFramePr>
            <xdr:cNvPr id="11" name="Ship Country 1">
              <a:extLst>
                <a:ext uri="{FF2B5EF4-FFF2-40B4-BE49-F238E27FC236}">
                  <a16:creationId xmlns:a16="http://schemas.microsoft.com/office/drawing/2014/main" id="{2C7E7C6D-D075-5F4C-BFB3-FD14A0E7092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hip Country 1"/>
            </a:graphicData>
          </a:graphic>
        </xdr:graphicFrame>
      </mc:Choice>
      <mc:Fallback xmlns="">
        <xdr:sp macro="" textlink="">
          <xdr:nvSpPr>
            <xdr:cNvPr id="0" name=""/>
            <xdr:cNvSpPr>
              <a:spLocks noTextEdit="1"/>
            </xdr:cNvSpPr>
          </xdr:nvSpPr>
          <xdr:spPr>
            <a:xfrm>
              <a:off x="11038671" y="1770336"/>
              <a:ext cx="2480211" cy="15067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3834</xdr:colOff>
      <xdr:row>10</xdr:row>
      <xdr:rowOff>1524</xdr:rowOff>
    </xdr:from>
    <xdr:to>
      <xdr:col>23</xdr:col>
      <xdr:colOff>1</xdr:colOff>
      <xdr:row>18</xdr:row>
      <xdr:rowOff>1</xdr:rowOff>
    </xdr:to>
    <mc:AlternateContent xmlns:mc="http://schemas.openxmlformats.org/markup-compatibility/2006" xmlns:a14="http://schemas.microsoft.com/office/drawing/2010/main">
      <mc:Choice Requires="a14">
        <xdr:graphicFrame macro="">
          <xdr:nvGraphicFramePr>
            <xdr:cNvPr id="12" name="Item Name 1">
              <a:extLst>
                <a:ext uri="{FF2B5EF4-FFF2-40B4-BE49-F238E27FC236}">
                  <a16:creationId xmlns:a16="http://schemas.microsoft.com/office/drawing/2014/main" id="{489E3C07-5483-8946-8CD2-7C511382098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Name 1"/>
            </a:graphicData>
          </a:graphic>
        </xdr:graphicFrame>
      </mc:Choice>
      <mc:Fallback xmlns="">
        <xdr:sp macro="" textlink="">
          <xdr:nvSpPr>
            <xdr:cNvPr id="0" name=""/>
            <xdr:cNvSpPr>
              <a:spLocks noTextEdit="1"/>
            </xdr:cNvSpPr>
          </xdr:nvSpPr>
          <xdr:spPr>
            <a:xfrm>
              <a:off x="13656334" y="1770453"/>
              <a:ext cx="3307238" cy="15066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1239520</xdr:colOff>
      <xdr:row>1</xdr:row>
      <xdr:rowOff>34472</xdr:rowOff>
    </xdr:from>
    <xdr:to>
      <xdr:col>11</xdr:col>
      <xdr:colOff>518368</xdr:colOff>
      <xdr:row>14</xdr:row>
      <xdr:rowOff>82162</xdr:rowOff>
    </xdr:to>
    <xdr:graphicFrame macro="">
      <xdr:nvGraphicFramePr>
        <xdr:cNvPr id="5" name="Chart 4">
          <a:extLst>
            <a:ext uri="{FF2B5EF4-FFF2-40B4-BE49-F238E27FC236}">
              <a16:creationId xmlns:a16="http://schemas.microsoft.com/office/drawing/2014/main" id="{C109C4B4-4694-2CDB-8C31-36F92E2B5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43491</xdr:colOff>
      <xdr:row>15</xdr:row>
      <xdr:rowOff>182103</xdr:rowOff>
    </xdr:from>
    <xdr:to>
      <xdr:col>11</xdr:col>
      <xdr:colOff>533400</xdr:colOff>
      <xdr:row>29</xdr:row>
      <xdr:rowOff>22446</xdr:rowOff>
    </xdr:to>
    <xdr:graphicFrame macro="">
      <xdr:nvGraphicFramePr>
        <xdr:cNvPr id="7" name="Chart 6">
          <a:extLst>
            <a:ext uri="{FF2B5EF4-FFF2-40B4-BE49-F238E27FC236}">
              <a16:creationId xmlns:a16="http://schemas.microsoft.com/office/drawing/2014/main" id="{7E4C1156-EC7F-6E17-258A-CF71A9D0C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1206500</xdr:colOff>
      <xdr:row>30</xdr:row>
      <xdr:rowOff>82550</xdr:rowOff>
    </xdr:from>
    <xdr:to>
      <xdr:col>11</xdr:col>
      <xdr:colOff>571500</xdr:colOff>
      <xdr:row>43</xdr:row>
      <xdr:rowOff>184150</xdr:rowOff>
    </xdr:to>
    <xdr:graphicFrame macro="">
      <xdr:nvGraphicFramePr>
        <xdr:cNvPr id="9" name="Chart 8">
          <a:extLst>
            <a:ext uri="{FF2B5EF4-FFF2-40B4-BE49-F238E27FC236}">
              <a16:creationId xmlns:a16="http://schemas.microsoft.com/office/drawing/2014/main" id="{EA32FC02-07B0-A2D8-0DD8-2C8AE30F7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774700</xdr:colOff>
      <xdr:row>21</xdr:row>
      <xdr:rowOff>127000</xdr:rowOff>
    </xdr:from>
    <xdr:to>
      <xdr:col>15</xdr:col>
      <xdr:colOff>127000</xdr:colOff>
      <xdr:row>34</xdr:row>
      <xdr:rowOff>104772</xdr:rowOff>
    </xdr:to>
    <mc:AlternateContent xmlns:mc="http://schemas.openxmlformats.org/markup-compatibility/2006" xmlns:a14="http://schemas.microsoft.com/office/drawing/2010/main">
      <mc:Choice Requires="a14">
        <xdr:graphicFrame macro="">
          <xdr:nvGraphicFramePr>
            <xdr:cNvPr id="10" name="Item Name">
              <a:extLst>
                <a:ext uri="{FF2B5EF4-FFF2-40B4-BE49-F238E27FC236}">
                  <a16:creationId xmlns:a16="http://schemas.microsoft.com/office/drawing/2014/main" id="{DBF0A4F3-32FA-CD7B-431D-C72EF80C5FFC}"/>
                </a:ext>
              </a:extLst>
            </xdr:cNvPr>
            <xdr:cNvGraphicFramePr/>
          </xdr:nvGraphicFramePr>
          <xdr:xfrm>
            <a:off x="0" y="0"/>
            <a:ext cx="0" cy="0"/>
          </xdr:xfrm>
          <a:graphic>
            <a:graphicData uri="http://schemas.microsoft.com/office/drawing/2010/slicer">
              <sle:slicer xmlns:sle="http://schemas.microsoft.com/office/drawing/2010/slicer" name="Item Name"/>
            </a:graphicData>
          </a:graphic>
        </xdr:graphicFrame>
      </mc:Choice>
      <mc:Fallback xmlns="">
        <xdr:sp macro="" textlink="">
          <xdr:nvSpPr>
            <xdr:cNvPr id="0" name=""/>
            <xdr:cNvSpPr>
              <a:spLocks noTextEdit="1"/>
            </xdr:cNvSpPr>
          </xdr:nvSpPr>
          <xdr:spPr>
            <a:xfrm>
              <a:off x="13271500" y="4394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609600</xdr:colOff>
      <xdr:row>9</xdr:row>
      <xdr:rowOff>0</xdr:rowOff>
    </xdr:from>
    <xdr:to>
      <xdr:col>14</xdr:col>
      <xdr:colOff>787400</xdr:colOff>
      <xdr:row>14</xdr:row>
      <xdr:rowOff>127000</xdr:rowOff>
    </xdr:to>
    <mc:AlternateContent xmlns:mc="http://schemas.openxmlformats.org/markup-compatibility/2006" xmlns:a14="http://schemas.microsoft.com/office/drawing/2010/main">
      <mc:Choice Requires="a14">
        <xdr:graphicFrame macro="">
          <xdr:nvGraphicFramePr>
            <xdr:cNvPr id="11" name="Hardware">
              <a:extLst>
                <a:ext uri="{FF2B5EF4-FFF2-40B4-BE49-F238E27FC236}">
                  <a16:creationId xmlns:a16="http://schemas.microsoft.com/office/drawing/2014/main" id="{EEE93BCF-1D71-6676-DD91-BE96A7191D3F}"/>
                </a:ext>
              </a:extLst>
            </xdr:cNvPr>
            <xdr:cNvGraphicFramePr/>
          </xdr:nvGraphicFramePr>
          <xdr:xfrm>
            <a:off x="0" y="0"/>
            <a:ext cx="0" cy="0"/>
          </xdr:xfrm>
          <a:graphic>
            <a:graphicData uri="http://schemas.microsoft.com/office/drawing/2010/slicer">
              <sle:slicer xmlns:sle="http://schemas.microsoft.com/office/drawing/2010/slicer" name="Hardware"/>
            </a:graphicData>
          </a:graphic>
        </xdr:graphicFrame>
      </mc:Choice>
      <mc:Fallback xmlns="">
        <xdr:sp macro="" textlink="">
          <xdr:nvSpPr>
            <xdr:cNvPr id="0" name=""/>
            <xdr:cNvSpPr>
              <a:spLocks noTextEdit="1"/>
            </xdr:cNvSpPr>
          </xdr:nvSpPr>
          <xdr:spPr>
            <a:xfrm>
              <a:off x="13106400" y="1828800"/>
              <a:ext cx="182880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101600</xdr:colOff>
      <xdr:row>11</xdr:row>
      <xdr:rowOff>25400</xdr:rowOff>
    </xdr:from>
    <xdr:to>
      <xdr:col>17</xdr:col>
      <xdr:colOff>279400</xdr:colOff>
      <xdr:row>24</xdr:row>
      <xdr:rowOff>3172</xdr:rowOff>
    </xdr:to>
    <mc:AlternateContent xmlns:mc="http://schemas.openxmlformats.org/markup-compatibility/2006" xmlns:a14="http://schemas.microsoft.com/office/drawing/2010/main">
      <mc:Choice Requires="a14">
        <xdr:graphicFrame macro="">
          <xdr:nvGraphicFramePr>
            <xdr:cNvPr id="12" name="Ship Country">
              <a:extLst>
                <a:ext uri="{FF2B5EF4-FFF2-40B4-BE49-F238E27FC236}">
                  <a16:creationId xmlns:a16="http://schemas.microsoft.com/office/drawing/2014/main" id="{9D86E517-B27B-CE2D-FF2F-A23196497389}"/>
                </a:ext>
              </a:extLst>
            </xdr:cNvPr>
            <xdr:cNvGraphicFramePr/>
          </xdr:nvGraphicFramePr>
          <xdr:xfrm>
            <a:off x="0" y="0"/>
            <a:ext cx="0" cy="0"/>
          </xdr:xfrm>
          <a:graphic>
            <a:graphicData uri="http://schemas.microsoft.com/office/drawing/2010/slicer">
              <sle:slicer xmlns:sle="http://schemas.microsoft.com/office/drawing/2010/slicer" name="Ship Country"/>
            </a:graphicData>
          </a:graphic>
        </xdr:graphicFrame>
      </mc:Choice>
      <mc:Fallback xmlns="">
        <xdr:sp macro="" textlink="">
          <xdr:nvSpPr>
            <xdr:cNvPr id="0" name=""/>
            <xdr:cNvSpPr>
              <a:spLocks noTextEdit="1"/>
            </xdr:cNvSpPr>
          </xdr:nvSpPr>
          <xdr:spPr>
            <a:xfrm>
              <a:off x="15074900" y="2260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1.813782407407" createdVersion="8" refreshedVersion="8" minRefreshableVersion="3" recordCount="77" xr:uid="{366408E0-54E8-444C-AE31-6B2F80B6CD0B}">
  <cacheSource type="worksheet">
    <worksheetSource name="EtsySoldOrderItems2020"/>
  </cacheSource>
  <cacheFields count="22">
    <cacheField name="Sale Date" numFmtId="14">
      <sharedItems containsSemiMixedTypes="0" containsNonDate="0" containsDate="1" containsString="0" minDate="2020-09-05T00:00:00" maxDate="2026-03-19T00:00:00" count="75">
        <d v="2020-09-05T00:00:00"/>
        <d v="2020-10-06T00:00:00"/>
        <d v="2020-11-14T00:00:00"/>
        <d v="2020-11-23T00:00:00"/>
        <d v="2020-11-25T00:00:00"/>
        <d v="2020-12-24T00:00:00"/>
        <d v="2020-12-26T00:00:00"/>
        <d v="2021-01-06T00:00:00"/>
        <d v="2021-01-09T00:00:00"/>
        <d v="2021-01-20T00:00:00"/>
        <d v="2021-01-28T00:00:00"/>
        <d v="2021-02-13T00:00:00"/>
        <d v="2021-02-21T00:00:00"/>
        <d v="2021-03-02T00:00:00"/>
        <d v="2021-03-08T00:00:00"/>
        <d v="2021-03-16T00:00:00"/>
        <d v="2021-03-22T00:00:00"/>
        <d v="2021-04-28T00:00:00"/>
        <d v="2021-05-13T00:00:00"/>
        <d v="2021-05-28T00:00:00"/>
        <d v="2021-06-01T00:00:00"/>
        <d v="2021-06-05T00:00:00"/>
        <d v="2021-06-06T00:00:00"/>
        <d v="2021-07-01T00:00:00"/>
        <d v="2021-07-12T00:00:00"/>
        <d v="2021-07-14T00:00:00"/>
        <d v="2021-07-23T00:00:00"/>
        <d v="2021-07-26T00:00:00"/>
        <d v="2021-09-07T00:00:00"/>
        <d v="2021-10-21T00:00:00"/>
        <d v="2021-10-25T00:00:00"/>
        <d v="2021-11-05T00:00:00"/>
        <d v="2021-12-03T00:00:00"/>
        <d v="2021-12-08T00:00:00"/>
        <d v="2022-01-05T00:00:00"/>
        <d v="2022-01-06T00:00:00"/>
        <d v="2022-01-21T00:00:00"/>
        <d v="2022-03-03T00:00:00"/>
        <d v="2022-03-05T00:00:00"/>
        <d v="2022-06-04T00:00:00"/>
        <d v="2022-07-02T00:00:00"/>
        <d v="2022-07-05T00:00:00"/>
        <d v="2022-09-10T00:00:00"/>
        <d v="2022-10-13T00:00:00"/>
        <d v="2022-11-05T00:00:00"/>
        <d v="2022-11-10T00:00:00"/>
        <d v="2022-11-21T00:00:00"/>
        <d v="2023-02-14T00:00:00"/>
        <d v="2023-04-07T00:00:00"/>
        <d v="2023-04-09T00:00:00"/>
        <d v="2023-04-16T00:00:00"/>
        <d v="2023-04-17T00:00:00"/>
        <d v="2023-04-29T00:00:00"/>
        <d v="2023-04-30T00:00:00"/>
        <d v="2023-07-15T00:00:00"/>
        <d v="2023-08-26T00:00:00"/>
        <d v="2023-11-07T00:00:00"/>
        <d v="2024-03-18T00:00:00"/>
        <d v="2024-03-28T00:00:00"/>
        <d v="2024-04-10T00:00:00"/>
        <d v="2024-04-12T00:00:00"/>
        <d v="2024-04-24T00:00:00"/>
        <d v="2024-05-19T00:00:00"/>
        <d v="2024-05-23T00:00:00"/>
        <d v="2024-06-14T00:00:00"/>
        <d v="2024-06-17T00:00:00"/>
        <d v="2024-06-19T00:00:00"/>
        <d v="2024-09-16T00:00:00"/>
        <d v="2024-11-06T00:00:00"/>
        <d v="2024-12-29T00:00:00"/>
        <d v="2025-01-09T00:00:00"/>
        <d v="2025-02-11T00:00:00"/>
        <d v="2025-05-18T00:00:00"/>
        <d v="2025-12-04T00:00:00"/>
        <d v="2026-03-18T00:00:00"/>
      </sharedItems>
      <fieldGroup par="21"/>
    </cacheField>
    <cacheField name="Item Name" numFmtId="0">
      <sharedItems count="7">
        <s v="Crochet Rainbow Earrings"/>
        <s v="Smiley &amp; Sad daisy Crochet Earrings"/>
        <s v="Crochet Strawberry Earrings"/>
        <s v="Crochet Sunflower Earrings"/>
        <s v="Crochet Tiered Rainbow Flower Earrings"/>
        <s v="Small Crochet Rainbow Earrings"/>
        <s v="Rainbow Flower Smileys"/>
      </sharedItems>
    </cacheField>
    <cacheField name="Buyer" numFmtId="0">
      <sharedItems/>
    </cacheField>
    <cacheField name="Earring Price" numFmtId="0">
      <sharedItems containsSemiMixedTypes="0" containsString="0" containsNumber="1" minValue="7.5" maxValue="11"/>
    </cacheField>
    <cacheField name="Shipping Price" numFmtId="0">
      <sharedItems containsSemiMixedTypes="0" containsString="0" containsNumber="1" minValue="0.7" maxValue="8"/>
    </cacheField>
    <cacheField name="Order Total" numFmtId="0">
      <sharedItems containsSemiMixedTypes="0" containsString="0" containsNumber="1" minValue="8.6999999999999993" maxValue="18.5"/>
    </cacheField>
    <cacheField name="Listing ID" numFmtId="0">
      <sharedItems containsSemiMixedTypes="0" containsString="0" containsNumber="1" containsInteger="1" minValue="850597616" maxValue="948060667"/>
    </cacheField>
    <cacheField name="Date Paid" numFmtId="14">
      <sharedItems containsSemiMixedTypes="0" containsNonDate="0" containsDate="1" containsString="0" minDate="2020-09-05T00:00:00" maxDate="2026-03-19T00:00:00"/>
    </cacheField>
    <cacheField name="Date Shipped" numFmtId="14">
      <sharedItems containsSemiMixedTypes="0" containsNonDate="0" containsDate="1" containsString="0" minDate="2020-09-07T00:00:00" maxDate="2026-03-25T00:00:00"/>
    </cacheField>
    <cacheField name="Days to Ship" numFmtId="0">
      <sharedItems containsSemiMixedTypes="0" containsString="0" containsNumber="1" containsInteger="1" minValue="2" maxValue="11"/>
    </cacheField>
    <cacheField name="Ship Name" numFmtId="0">
      <sharedItems/>
    </cacheField>
    <cacheField name="Ship Address1" numFmtId="0">
      <sharedItems/>
    </cacheField>
    <cacheField name="Ship City" numFmtId="0">
      <sharedItems/>
    </cacheField>
    <cacheField name="Ship State" numFmtId="0">
      <sharedItems/>
    </cacheField>
    <cacheField name="Ship Zipcode" numFmtId="0">
      <sharedItems/>
    </cacheField>
    <cacheField name="Ship Country" numFmtId="0">
      <sharedItems count="6">
        <s v="United Kingdom"/>
        <s v="United States"/>
        <s v="Germany"/>
        <s v="Ireland"/>
        <s v="France"/>
        <s v="Spain"/>
      </sharedItems>
    </cacheField>
    <cacheField name="Order ID" numFmtId="0">
      <sharedItems containsSemiMixedTypes="0" containsString="0" containsNumber="1" containsInteger="1" minValue="1763939987" maxValue="4004229446"/>
    </cacheField>
    <cacheField name="Hardware" numFmtId="0">
      <sharedItems count="2">
        <s v="Hooks"/>
        <s v="Hoops"/>
      </sharedItems>
    </cacheField>
    <cacheField name="UK Region" numFmtId="0">
      <sharedItems count="12">
        <s v="North West"/>
        <s v="South East"/>
        <s v="Yorkshire and the Humber"/>
        <s v="West Midlands"/>
        <s v="Scotland"/>
        <s v="Not UK"/>
        <s v="London"/>
        <s v="South West"/>
        <s v="Northern Ireland"/>
        <s v="East of England"/>
        <s v="North East"/>
        <s v="East Midlands"/>
      </sharedItems>
    </cacheField>
    <cacheField name="Months (Sale Date)" numFmtId="0" databaseField="0">
      <fieldGroup base="0">
        <rangePr groupBy="months" startDate="2020-09-05T00:00:00" endDate="2026-03-19T00:00:00"/>
        <groupItems count="14">
          <s v="&lt;05/09/2020"/>
          <s v="Jan"/>
          <s v="Feb"/>
          <s v="Mar"/>
          <s v="Apr"/>
          <s v="May"/>
          <s v="Jun"/>
          <s v="Jul"/>
          <s v="Aug"/>
          <s v="Sep"/>
          <s v="Oct"/>
          <s v="Nov"/>
          <s v="Dec"/>
          <s v="&gt;19/03/2026"/>
        </groupItems>
      </fieldGroup>
    </cacheField>
    <cacheField name="Quarters (Sale Date)" numFmtId="0" databaseField="0">
      <fieldGroup base="0">
        <rangePr groupBy="quarters" startDate="2020-09-05T00:00:00" endDate="2026-03-19T00:00:00"/>
        <groupItems count="6">
          <s v="&lt;05/09/2020"/>
          <s v="Qtr1"/>
          <s v="Qtr2"/>
          <s v="Qtr3"/>
          <s v="Qtr4"/>
          <s v="&gt;19/03/2026"/>
        </groupItems>
      </fieldGroup>
    </cacheField>
    <cacheField name="Years (Sale Date)" numFmtId="0" databaseField="0">
      <fieldGroup base="0">
        <rangePr groupBy="years" startDate="2020-09-05T00:00:00" endDate="2026-03-19T00:00:00"/>
        <groupItems count="9">
          <s v="&lt;05/09/2020"/>
          <s v="2020"/>
          <s v="2021"/>
          <s v="2022"/>
          <s v="2023"/>
          <s v="2024"/>
          <s v="2025"/>
          <s v="2026"/>
          <s v="&gt;19/03/2026"/>
        </groupItems>
      </fieldGroup>
    </cacheField>
  </cacheFields>
  <extLst>
    <ext xmlns:x14="http://schemas.microsoft.com/office/spreadsheetml/2009/9/main" uri="{725AE2AE-9491-48be-B2B4-4EB974FC3084}">
      <x14:pivotCacheDefinition pivotCacheId="677445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s v="Liz (v3ms3swv)"/>
    <n v="8.5"/>
    <n v="0.7"/>
    <n v="9.1999999999999993"/>
    <n v="850597616"/>
    <d v="2020-09-05T00:00:00"/>
    <d v="2020-09-07T00:00:00"/>
    <n v="2"/>
    <s v="Elizabeth Walker"/>
    <s v="12 Ellerbeck Lane"/>
    <s v="Workington"/>
    <s v="Cumbria"/>
    <s v="CA14 4HE"/>
    <x v="0"/>
    <n v="1763939987"/>
    <x v="0"/>
    <x v="0"/>
  </r>
  <r>
    <x v="1"/>
    <x v="1"/>
    <s v="Sophie Allen-Brown (sophiedtv)"/>
    <n v="10"/>
    <n v="0.7"/>
    <n v="10.7"/>
    <n v="850621096"/>
    <d v="2020-10-06T00:00:00"/>
    <d v="2020-10-08T00:00:00"/>
    <n v="2"/>
    <s v="Sophie Brown"/>
    <s v="93 Milton Avenue"/>
    <s v="Margate"/>
    <s v="Kent"/>
    <s v="CT9 1tt"/>
    <x v="0"/>
    <n v="1782664446"/>
    <x v="0"/>
    <x v="1"/>
  </r>
  <r>
    <x v="2"/>
    <x v="1"/>
    <s v="Emily Rose (icwjinhk)"/>
    <n v="10"/>
    <n v="0.7"/>
    <n v="10.7"/>
    <n v="850621096"/>
    <d v="2020-11-14T00:00:00"/>
    <d v="2020-11-18T00:00:00"/>
    <n v="4"/>
    <s v="Emily Rose"/>
    <s v="2 Campion Drive, Killamarsh"/>
    <s v="Sheffield"/>
    <s v="Yorkshire"/>
    <s v="S21 1TG"/>
    <x v="0"/>
    <n v="1823210372"/>
    <x v="0"/>
    <x v="2"/>
  </r>
  <r>
    <x v="3"/>
    <x v="1"/>
    <s v="Ellie (tdir6fqs)"/>
    <n v="10"/>
    <n v="0.7"/>
    <n v="10.7"/>
    <n v="850621096"/>
    <d v="2020-11-23T00:00:00"/>
    <d v="2020-11-27T00:00:00"/>
    <n v="4"/>
    <s v="Eleanor Emberson"/>
    <s v="58 Westwood Park Ave"/>
    <s v="Leek"/>
    <s v="Staffordshire"/>
    <s v="ST138LU"/>
    <x v="0"/>
    <n v="1848574119"/>
    <x v="0"/>
    <x v="3"/>
  </r>
  <r>
    <x v="4"/>
    <x v="1"/>
    <s v="Emily Rose (icwjinhk)"/>
    <n v="10"/>
    <n v="0.7"/>
    <n v="10.7"/>
    <n v="850621096"/>
    <d v="2020-11-25T00:00:00"/>
    <d v="2020-12-01T00:00:00"/>
    <n v="6"/>
    <s v="Emily Rose"/>
    <s v="2 Campion Drive, Killamarsh"/>
    <s v="Sheffield"/>
    <s v="Yorkshire"/>
    <s v="S21 1TG"/>
    <x v="0"/>
    <n v="1851988741"/>
    <x v="0"/>
    <x v="2"/>
  </r>
  <r>
    <x v="5"/>
    <x v="0"/>
    <s v="Cheryl Dalziel (cheryldalziel)"/>
    <n v="8.5"/>
    <n v="0.7"/>
    <n v="9.1999999999999993"/>
    <n v="850597616"/>
    <d v="2020-12-24T00:00:00"/>
    <d v="2020-12-29T00:00:00"/>
    <n v="5"/>
    <s v="Cheryl Dalziel"/>
    <s v="63 Flat 12 Buccleuch Street"/>
    <s v="Edinburgj"/>
    <s v=""/>
    <s v="Eh8 9ls"/>
    <x v="0"/>
    <n v="1893909370"/>
    <x v="0"/>
    <x v="4"/>
  </r>
  <r>
    <x v="6"/>
    <x v="2"/>
    <s v="Alyx Farris (alyxfarris)"/>
    <n v="9.5"/>
    <n v="3.8"/>
    <n v="13.3"/>
    <n v="863807800"/>
    <d v="2020-12-26T00:00:00"/>
    <d v="2021-01-02T00:00:00"/>
    <n v="7"/>
    <s v="Alyx Farris"/>
    <s v="12714 Ne 180th St"/>
    <s v="Bothell"/>
    <s v="WA"/>
    <s v="98011-3288"/>
    <x v="1"/>
    <n v="1904000725"/>
    <x v="0"/>
    <x v="5"/>
  </r>
  <r>
    <x v="7"/>
    <x v="0"/>
    <s v=""/>
    <n v="8.5"/>
    <n v="0.7"/>
    <n v="9.1999999999999993"/>
    <n v="850597616"/>
    <d v="2021-01-06T00:00:00"/>
    <d v="2021-01-10T00:00:00"/>
    <n v="4"/>
    <s v="Danielle Bills"/>
    <s v="75 Cortis Road"/>
    <s v="London"/>
    <s v=""/>
    <s v="SW15 3AH"/>
    <x v="0"/>
    <n v="1914919779"/>
    <x v="0"/>
    <x v="6"/>
  </r>
  <r>
    <x v="8"/>
    <x v="1"/>
    <s v="Alicia Robinson (aliciakirkendall1)"/>
    <n v="10"/>
    <n v="3.8"/>
    <n v="13.8"/>
    <n v="850621096"/>
    <d v="2021-01-09T00:00:00"/>
    <d v="2021-01-15T00:00:00"/>
    <n v="6"/>
    <s v="Alicia Kirkendall"/>
    <s v="3575 Waters Cove Way"/>
    <s v="ALPHARETTA"/>
    <s v="GA"/>
    <s v="30022"/>
    <x v="1"/>
    <n v="1917959533"/>
    <x v="0"/>
    <x v="5"/>
  </r>
  <r>
    <x v="9"/>
    <x v="0"/>
    <s v="Erin Nicole Ury (poniezOMG)"/>
    <n v="8.5"/>
    <n v="4"/>
    <n v="12.5"/>
    <n v="850597616"/>
    <d v="2021-01-20T00:00:00"/>
    <d v="2021-01-26T00:00:00"/>
    <n v="6"/>
    <s v="Erin Nicole Ury"/>
    <s v="116 Seabright Ave"/>
    <s v="Santa Cruz"/>
    <s v="CA"/>
    <s v="95062-3764"/>
    <x v="1"/>
    <n v="1922159654"/>
    <x v="0"/>
    <x v="5"/>
  </r>
  <r>
    <x v="10"/>
    <x v="3"/>
    <s v="Sophie (jl8jp7pq)"/>
    <n v="8"/>
    <n v="0.7"/>
    <n v="8.6999999999999993"/>
    <n v="864527775"/>
    <d v="2021-01-28T00:00:00"/>
    <d v="2021-02-01T00:00:00"/>
    <n v="4"/>
    <s v="Sophis Leyland"/>
    <s v="9 Chalfont Close"/>
    <s v="Worcester"/>
    <s v="England"/>
    <s v="WR3 7HL"/>
    <x v="0"/>
    <n v="1931929150"/>
    <x v="0"/>
    <x v="3"/>
  </r>
  <r>
    <x v="11"/>
    <x v="1"/>
    <s v="Nele Amelie (3hqcrke2)"/>
    <n v="10"/>
    <n v="3.05"/>
    <n v="13.05"/>
    <n v="850621096"/>
    <d v="2021-02-13T00:00:00"/>
    <d v="2021-02-19T00:00:00"/>
    <n v="6"/>
    <s v="Nele Amelie Mai"/>
    <s v="Leipziger Straße 159"/>
    <s v="Dresden"/>
    <s v=""/>
    <s v="01139"/>
    <x v="2"/>
    <n v="1951197474"/>
    <x v="0"/>
    <x v="5"/>
  </r>
  <r>
    <x v="12"/>
    <x v="1"/>
    <s v=""/>
    <n v="10"/>
    <n v="0.7"/>
    <n v="10.7"/>
    <n v="850621096"/>
    <d v="2021-02-21T00:00:00"/>
    <d v="2021-02-25T00:00:00"/>
    <n v="4"/>
    <s v="Louis Fraser"/>
    <s v="7 South View Place"/>
    <s v="Midsomer Norton"/>
    <s v="England"/>
    <s v="BA32ax"/>
    <x v="0"/>
    <n v="1966603945"/>
    <x v="0"/>
    <x v="7"/>
  </r>
  <r>
    <x v="13"/>
    <x v="2"/>
    <s v="DipsyDo7"/>
    <n v="9.5"/>
    <n v="4"/>
    <n v="13.5"/>
    <n v="863807800"/>
    <d v="2021-03-02T00:00:00"/>
    <d v="2021-03-08T00:00:00"/>
    <n v="6"/>
    <s v="Noelle Grabowski"/>
    <s v="5026 Boulevard Pl"/>
    <s v="Indianapolis"/>
    <s v="IN"/>
    <s v="46208"/>
    <x v="1"/>
    <n v="1969570184"/>
    <x v="0"/>
    <x v="5"/>
  </r>
  <r>
    <x v="13"/>
    <x v="0"/>
    <s v="Ami Clarkson (amiwami)"/>
    <n v="9"/>
    <n v="1.29"/>
    <n v="10.29"/>
    <n v="850597616"/>
    <d v="2021-03-02T00:00:00"/>
    <d v="2021-03-08T00:00:00"/>
    <n v="6"/>
    <s v="Ami Beadle"/>
    <s v="89 Astwood Road"/>
    <s v="Worcester"/>
    <s v="England"/>
    <s v="WR3 8EP"/>
    <x v="0"/>
    <n v="1976445777"/>
    <x v="1"/>
    <x v="3"/>
  </r>
  <r>
    <x v="14"/>
    <x v="1"/>
    <s v="Dina (p6yh967cz1r5rf8z)"/>
    <n v="10"/>
    <n v="1.29"/>
    <n v="11.29"/>
    <n v="850621096"/>
    <d v="2021-03-08T00:00:00"/>
    <d v="2021-03-15T00:00:00"/>
    <n v="7"/>
    <s v="Dina Eldawy"/>
    <s v="Holywell Manor"/>
    <s v="Oxford"/>
    <s v=""/>
    <s v="OX1 3UH"/>
    <x v="0"/>
    <n v="1982758603"/>
    <x v="0"/>
    <x v="1"/>
  </r>
  <r>
    <x v="15"/>
    <x v="0"/>
    <s v="Phoebe (nnw43mpo)"/>
    <n v="8.5"/>
    <n v="1.29"/>
    <n v="9.7899999999999991"/>
    <n v="850597616"/>
    <d v="2021-03-16T00:00:00"/>
    <d v="2021-03-19T00:00:00"/>
    <n v="3"/>
    <s v="Phoebe Botting"/>
    <s v="15 Stavedown Road"/>
    <s v="Winchester"/>
    <s v="Hants"/>
    <s v="SO21 3HA"/>
    <x v="0"/>
    <n v="1985753984"/>
    <x v="0"/>
    <x v="1"/>
  </r>
  <r>
    <x v="16"/>
    <x v="1"/>
    <s v="Caroline O'Brien (y4bq7jla)"/>
    <n v="10.5"/>
    <n v="3.05"/>
    <n v="13.55"/>
    <n v="850621096"/>
    <d v="2021-03-22T00:00:00"/>
    <d v="2021-03-27T00:00:00"/>
    <n v="5"/>
    <s v="Caroline O'Brien"/>
    <s v="66 Mornington Heights"/>
    <s v="Trim"/>
    <s v="Meath"/>
    <s v="C15 CT92"/>
    <x v="3"/>
    <n v="1992694066"/>
    <x v="0"/>
    <x v="5"/>
  </r>
  <r>
    <x v="17"/>
    <x v="1"/>
    <s v="sinéad (cuktimcmv8wn3ixt)"/>
    <n v="10.5"/>
    <n v="1.29"/>
    <n v="11.79"/>
    <n v="850621096"/>
    <d v="2021-04-28T00:00:00"/>
    <d v="2021-05-04T00:00:00"/>
    <n v="6"/>
    <s v="Sinead Hagan"/>
    <s v="33 Gortreagh Rd"/>
    <s v="Cookstown"/>
    <s v="Tyrone"/>
    <s v="BT80 9ET"/>
    <x v="0"/>
    <n v="2034112804"/>
    <x v="0"/>
    <x v="8"/>
  </r>
  <r>
    <x v="18"/>
    <x v="1"/>
    <s v="Isabella Rathleff (mwk8rzsl)"/>
    <n v="10.5"/>
    <n v="1.29"/>
    <n v="11.79"/>
    <n v="850621096"/>
    <d v="2021-05-13T00:00:00"/>
    <d v="2021-05-21T00:00:00"/>
    <n v="8"/>
    <s v="Isabella Rathleff"/>
    <s v="Magdalen College"/>
    <s v="Oxford"/>
    <s v="England"/>
    <s v="OX1 4AU"/>
    <x v="0"/>
    <n v="2051948428"/>
    <x v="0"/>
    <x v="1"/>
  </r>
  <r>
    <x v="19"/>
    <x v="2"/>
    <s v=""/>
    <n v="11"/>
    <n v="1.29"/>
    <n v="12.29"/>
    <n v="863807800"/>
    <d v="2021-05-28T00:00:00"/>
    <d v="2021-06-03T00:00:00"/>
    <n v="6"/>
    <s v="Roz Haughey"/>
    <s v="106 Dryburgh Avenue"/>
    <s v="Rutherglen, Glasgow"/>
    <s v=""/>
    <s v="G73 3ET"/>
    <x v="0"/>
    <n v="2066375906"/>
    <x v="0"/>
    <x v="4"/>
  </r>
  <r>
    <x v="20"/>
    <x v="2"/>
    <s v="Melanie Kemp (Melanie1974)"/>
    <n v="11"/>
    <n v="1.29"/>
    <n v="12.29"/>
    <n v="863807800"/>
    <d v="2021-06-01T00:00:00"/>
    <d v="2021-06-08T00:00:00"/>
    <n v="7"/>
    <s v="Melanie Kemp"/>
    <s v="3 Brun Terrace"/>
    <s v="Burnley"/>
    <s v="England"/>
    <s v="BB10 3JR"/>
    <x v="0"/>
    <n v="2076250437"/>
    <x v="0"/>
    <x v="0"/>
  </r>
  <r>
    <x v="21"/>
    <x v="2"/>
    <s v=""/>
    <n v="11"/>
    <n v="1.29"/>
    <n v="12.29"/>
    <n v="863807800"/>
    <d v="2021-06-05T00:00:00"/>
    <d v="2021-06-10T00:00:00"/>
    <n v="5"/>
    <s v="Gemma Weston"/>
    <s v="8 Royston Road, Litlington"/>
    <s v="Royston"/>
    <s v=""/>
    <s v="SG8 0RL"/>
    <x v="0"/>
    <n v="2074864920"/>
    <x v="0"/>
    <x v="9"/>
  </r>
  <r>
    <x v="22"/>
    <x v="1"/>
    <s v="oishy nur (9vlzw2mj)"/>
    <n v="10.5"/>
    <n v="1.29"/>
    <n v="11.79"/>
    <n v="850621096"/>
    <d v="2021-06-06T00:00:00"/>
    <d v="2021-06-10T00:00:00"/>
    <n v="4"/>
    <s v="Jessica Lima"/>
    <s v="Kershaw Road"/>
    <s v="Dagenham"/>
    <s v=""/>
    <s v="RM10 7PU"/>
    <x v="0"/>
    <n v="2076260404"/>
    <x v="0"/>
    <x v="6"/>
  </r>
  <r>
    <x v="23"/>
    <x v="4"/>
    <s v="Sophie (jl8jp7pq)"/>
    <n v="7.5"/>
    <n v="1.29"/>
    <n v="8.7899999999999991"/>
    <n v="864534993"/>
    <d v="2021-07-01T00:00:00"/>
    <d v="2021-07-08T00:00:00"/>
    <n v="7"/>
    <s v="Sophis Leyland"/>
    <s v="9 Chalfont Close"/>
    <s v="Worcester"/>
    <s v="England"/>
    <s v="WR3 7HL"/>
    <x v="0"/>
    <n v="2100922812"/>
    <x v="0"/>
    <x v="3"/>
  </r>
  <r>
    <x v="24"/>
    <x v="1"/>
    <s v=""/>
    <n v="10.5"/>
    <n v="1.29"/>
    <n v="11.79"/>
    <n v="850621096"/>
    <d v="2021-07-12T00:00:00"/>
    <d v="2021-07-18T00:00:00"/>
    <n v="6"/>
    <s v="Anouska Kelly"/>
    <s v="26 Beresford Drive"/>
    <s v="London"/>
    <s v=""/>
    <s v="IG8 0JJ"/>
    <x v="0"/>
    <n v="2111772028"/>
    <x v="0"/>
    <x v="6"/>
  </r>
  <r>
    <x v="25"/>
    <x v="2"/>
    <s v="Nat (zaj2whkn)"/>
    <n v="11"/>
    <n v="1.29"/>
    <n v="12.29"/>
    <n v="863807800"/>
    <d v="2021-07-14T00:00:00"/>
    <d v="2021-07-18T00:00:00"/>
    <n v="4"/>
    <s v="Nat Coghlan-Jasiewicz"/>
    <s v="105 Amblecote Rd"/>
    <s v="London"/>
    <s v=""/>
    <s v="SE12 9TR"/>
    <x v="0"/>
    <n v="2115733271"/>
    <x v="0"/>
    <x v="6"/>
  </r>
  <r>
    <x v="26"/>
    <x v="1"/>
    <s v="Rachel McCay (raemccay)"/>
    <n v="10.5"/>
    <n v="1.29"/>
    <n v="11.79"/>
    <n v="850621096"/>
    <d v="2021-07-23T00:00:00"/>
    <d v="2021-07-30T00:00:00"/>
    <n v="7"/>
    <s v="Rachel Mccay"/>
    <s v="22 Lagmore Glen"/>
    <s v="Belfast"/>
    <s v="Northern Ireland"/>
    <s v="BT17 0UZ"/>
    <x v="0"/>
    <n v="2121514080"/>
    <x v="0"/>
    <x v="8"/>
  </r>
  <r>
    <x v="27"/>
    <x v="5"/>
    <s v="Etty (ettydevereaux)"/>
    <n v="8"/>
    <n v="1.29"/>
    <n v="9.2899999999999991"/>
    <n v="948060667"/>
    <d v="2021-07-26T00:00:00"/>
    <d v="2021-08-01T00:00:00"/>
    <n v="6"/>
    <s v="Etty Devereaux"/>
    <s v="6 Oakwood Close"/>
    <s v="London"/>
    <s v=""/>
    <s v="N14 4JY"/>
    <x v="0"/>
    <n v="2124625542"/>
    <x v="0"/>
    <x v="6"/>
  </r>
  <r>
    <x v="28"/>
    <x v="1"/>
    <s v="annadavis1516"/>
    <n v="10.5"/>
    <n v="1.29"/>
    <n v="11.79"/>
    <n v="850621096"/>
    <d v="2021-09-07T00:00:00"/>
    <d v="2021-09-14T00:00:00"/>
    <n v="7"/>
    <s v="Anna Davis"/>
    <s v="10 South Green"/>
    <s v="Norwich"/>
    <s v="Norfolk"/>
    <s v="NR20 3JT"/>
    <x v="0"/>
    <n v="2170482524"/>
    <x v="0"/>
    <x v="9"/>
  </r>
  <r>
    <x v="29"/>
    <x v="4"/>
    <s v="Helen Smith (helensmith678)"/>
    <n v="7.5"/>
    <n v="1.29"/>
    <n v="8.7899999999999991"/>
    <n v="864534993"/>
    <d v="2021-10-21T00:00:00"/>
    <d v="2021-10-28T00:00:00"/>
    <n v="7"/>
    <s v="Helen Smith"/>
    <s v="4 Albany Road"/>
    <s v="Southampton"/>
    <s v="Hampshire"/>
    <s v="SO15 3EG"/>
    <x v="0"/>
    <n v="2219434546"/>
    <x v="0"/>
    <x v="1"/>
  </r>
  <r>
    <x v="30"/>
    <x v="1"/>
    <s v="India Hyde (indielovesxo)"/>
    <n v="10.5"/>
    <n v="1.29"/>
    <n v="11.79"/>
    <n v="850621096"/>
    <d v="2021-10-25T00:00:00"/>
    <d v="2021-10-30T00:00:00"/>
    <n v="5"/>
    <s v="India Hyde"/>
    <s v="6 Sally Barn Close"/>
    <s v="Bristol"/>
    <s v=""/>
    <s v="BS30 9AN"/>
    <x v="0"/>
    <n v="2224403505"/>
    <x v="0"/>
    <x v="7"/>
  </r>
  <r>
    <x v="31"/>
    <x v="1"/>
    <s v="Irene (n3uc39xebl8mfmhz)"/>
    <n v="10.5"/>
    <n v="4"/>
    <n v="14.5"/>
    <n v="850621096"/>
    <d v="2021-11-05T00:00:00"/>
    <d v="2021-11-12T00:00:00"/>
    <n v="7"/>
    <s v="Irene Flynn"/>
    <s v="819 E Washington Ave."/>
    <s v="Orange"/>
    <s v="CA"/>
    <s v="92866"/>
    <x v="1"/>
    <n v="2237358300"/>
    <x v="0"/>
    <x v="5"/>
  </r>
  <r>
    <x v="32"/>
    <x v="5"/>
    <s v="Olivia (r6nv6f7obcuf7jwj)"/>
    <n v="8"/>
    <n v="1.29"/>
    <n v="9.2899999999999991"/>
    <n v="948060667"/>
    <d v="2021-12-03T00:00:00"/>
    <d v="2021-12-12T00:00:00"/>
    <n v="9"/>
    <s v="Olivia  Rowland"/>
    <s v="7 Grenadier Close"/>
    <s v="Reading "/>
    <s v="Berkshire "/>
    <s v="RG2 9EZ"/>
    <x v="0"/>
    <n v="2284394773"/>
    <x v="0"/>
    <x v="1"/>
  </r>
  <r>
    <x v="33"/>
    <x v="1"/>
    <s v="karasumari"/>
    <n v="10.5"/>
    <n v="4"/>
    <n v="14.5"/>
    <n v="850621096"/>
    <d v="2021-12-08T00:00:00"/>
    <d v="2021-12-16T00:00:00"/>
    <n v="8"/>
    <s v="Kaden Holbrook"/>
    <s v="1720 SW 4th Ave"/>
    <s v="Portland"/>
    <s v="OR"/>
    <s v="97201"/>
    <x v="1"/>
    <n v="2297947786"/>
    <x v="0"/>
    <x v="5"/>
  </r>
  <r>
    <x v="34"/>
    <x v="2"/>
    <s v=""/>
    <n v="11"/>
    <n v="1.29"/>
    <n v="12.29"/>
    <n v="863807800"/>
    <d v="2022-01-05T00:00:00"/>
    <d v="2022-01-12T00:00:00"/>
    <n v="7"/>
    <s v="Paula Jefferies"/>
    <s v="West Holme"/>
    <s v="SHEPTON MALLET"/>
    <s v=""/>
    <s v="BA4 5JW"/>
    <x v="0"/>
    <n v="2334608902"/>
    <x v="0"/>
    <x v="7"/>
  </r>
  <r>
    <x v="35"/>
    <x v="0"/>
    <s v=""/>
    <n v="9.6999999999999993"/>
    <n v="3.05"/>
    <n v="12.75"/>
    <n v="850597616"/>
    <d v="2022-01-06T00:00:00"/>
    <d v="2022-01-13T00:00:00"/>
    <n v="7"/>
    <s v="Séverine Soulat"/>
    <s v="16 avenue Léon betoulle"/>
    <s v="PANAZOL"/>
    <s v=""/>
    <s v="87350"/>
    <x v="4"/>
    <n v="2335618214"/>
    <x v="1"/>
    <x v="5"/>
  </r>
  <r>
    <x v="36"/>
    <x v="1"/>
    <s v="ZiMooLuu (w9q00a12)"/>
    <n v="10.5"/>
    <n v="4"/>
    <n v="14.5"/>
    <n v="850621096"/>
    <d v="2022-01-21T00:00:00"/>
    <d v="2022-01-28T00:00:00"/>
    <n v="7"/>
    <s v="Zion Rice"/>
    <s v="3197 state highway 128"/>
    <s v="CALISTOGA"/>
    <s v="CA"/>
    <s v="94515"/>
    <x v="1"/>
    <n v="2351668346"/>
    <x v="0"/>
    <x v="5"/>
  </r>
  <r>
    <x v="37"/>
    <x v="2"/>
    <s v="Bethany Mason (9hmpg3hp)"/>
    <n v="11"/>
    <n v="1.29"/>
    <n v="12.29"/>
    <n v="863807800"/>
    <d v="2022-03-03T00:00:00"/>
    <d v="2022-03-12T00:00:00"/>
    <n v="9"/>
    <s v="Bethany Mason"/>
    <s v="41 Norbreck Road"/>
    <s v="Doncaster"/>
    <s v="South Yorkshire"/>
    <s v="DN4 9QS"/>
    <x v="0"/>
    <n v="2398367806"/>
    <x v="0"/>
    <x v="2"/>
  </r>
  <r>
    <x v="38"/>
    <x v="1"/>
    <s v="tabbieibanez"/>
    <n v="10.5"/>
    <n v="4"/>
    <n v="14.5"/>
    <n v="850621096"/>
    <d v="2022-03-05T00:00:00"/>
    <d v="2022-03-12T00:00:00"/>
    <n v="7"/>
    <s v="Tabbie W. Ibanez"/>
    <s v="103 Talisker Court"/>
    <s v="APEX"/>
    <s v="NC"/>
    <s v="27502"/>
    <x v="1"/>
    <n v="2399295961"/>
    <x v="0"/>
    <x v="5"/>
  </r>
  <r>
    <x v="39"/>
    <x v="1"/>
    <s v="Melissa Bookwalter (babyneedzshoes)"/>
    <n v="10.5"/>
    <n v="4"/>
    <n v="14.5"/>
    <n v="850621096"/>
    <d v="2022-06-04T00:00:00"/>
    <d v="2022-06-10T00:00:00"/>
    <n v="6"/>
    <s v="Melissa Bookwalter"/>
    <s v="PO Box 80321"/>
    <s v="SEATTLE"/>
    <s v="WA"/>
    <s v="98108"/>
    <x v="1"/>
    <n v="2493930689"/>
    <x v="0"/>
    <x v="5"/>
  </r>
  <r>
    <x v="40"/>
    <x v="4"/>
    <s v="Molly Sharples (bfqe5qwf)"/>
    <n v="7.7"/>
    <n v="1.29"/>
    <n v="8.99"/>
    <n v="864534993"/>
    <d v="2022-07-02T00:00:00"/>
    <d v="2022-07-08T00:00:00"/>
    <n v="6"/>
    <s v="Molly Sharples"/>
    <s v="25 Coldstream Drive, Little Sutton"/>
    <s v="Ellesmere Port"/>
    <s v="Cheshire"/>
    <s v="CH66 4JZ"/>
    <x v="0"/>
    <n v="2523252168"/>
    <x v="1"/>
    <x v="0"/>
  </r>
  <r>
    <x v="41"/>
    <x v="1"/>
    <s v="Abigail Aaron (p7k8lwie)"/>
    <n v="10.5"/>
    <n v="1.29"/>
    <n v="11.79"/>
    <n v="850621096"/>
    <d v="2022-07-05T00:00:00"/>
    <d v="2022-07-09T00:00:00"/>
    <n v="4"/>
    <s v="Abbey Aaron"/>
    <s v="117 Whitehall Road West"/>
    <s v="Bradford"/>
    <s v="West Yorkshire"/>
    <s v="BD19 4BH"/>
    <x v="0"/>
    <n v="2523717725"/>
    <x v="0"/>
    <x v="2"/>
  </r>
  <r>
    <x v="42"/>
    <x v="1"/>
    <s v="Cami (wvwdzp4l)"/>
    <n v="10.5"/>
    <n v="4"/>
    <n v="14.5"/>
    <n v="850621096"/>
    <d v="2022-09-10T00:00:00"/>
    <d v="2022-09-17T00:00:00"/>
    <n v="7"/>
    <s v="Cami Eagle"/>
    <s v="117 5th Ave"/>
    <s v="Dayton"/>
    <s v="KY"/>
    <s v="41074-1101"/>
    <x v="1"/>
    <n v="2591459037"/>
    <x v="0"/>
    <x v="5"/>
  </r>
  <r>
    <x v="43"/>
    <x v="0"/>
    <s v="fox (2frovqxxt4ndkmof)"/>
    <n v="9.5"/>
    <n v="1.29"/>
    <n v="10.79"/>
    <n v="850597616"/>
    <d v="2022-10-13T00:00:00"/>
    <d v="2022-10-20T00:00:00"/>
    <n v="7"/>
    <s v="Fox Robinson"/>
    <s v="50 bramham grove"/>
    <s v="york"/>
    <s v=""/>
    <s v="YO26 5BJ"/>
    <x v="0"/>
    <n v="2631431746"/>
    <x v="0"/>
    <x v="2"/>
  </r>
  <r>
    <x v="44"/>
    <x v="3"/>
    <s v="Abigail Aaron (p7k8lwie)"/>
    <n v="7.5"/>
    <n v="1.29"/>
    <n v="8.7899999999999991"/>
    <n v="864527775"/>
    <d v="2022-11-05T00:00:00"/>
    <d v="2022-11-11T00:00:00"/>
    <n v="6"/>
    <s v="Abbey Aaron"/>
    <s v="117 Whitehall Road West"/>
    <s v="Bradford"/>
    <s v="West Yorkshire"/>
    <s v="BD19 4BH"/>
    <x v="0"/>
    <n v="2657883166"/>
    <x v="0"/>
    <x v="2"/>
  </r>
  <r>
    <x v="45"/>
    <x v="4"/>
    <s v="Angela Carolyn Godfrey (8porip9wzx7cgvo9)"/>
    <n v="7.5"/>
    <n v="1.29"/>
    <n v="8.7899999999999991"/>
    <n v="864534993"/>
    <d v="2022-11-10T00:00:00"/>
    <d v="2022-11-17T00:00:00"/>
    <n v="7"/>
    <s v="Angela Carolyn Godfrey"/>
    <s v="53 St. Marys Walk"/>
    <s v="Bridlington"/>
    <s v="East Yorkshire"/>
    <s v="YO16 7LQ"/>
    <x v="0"/>
    <n v="2665604414"/>
    <x v="0"/>
    <x v="2"/>
  </r>
  <r>
    <x v="46"/>
    <x v="1"/>
    <s v="0enijx2w"/>
    <n v="10.5"/>
    <n v="4"/>
    <n v="14.5"/>
    <n v="850621096"/>
    <d v="2022-11-21T00:00:00"/>
    <d v="2022-11-28T00:00:00"/>
    <n v="7"/>
    <s v="Meredith Hyun"/>
    <s v="665 Prospect Ave"/>
    <s v="Winnetka"/>
    <s v="IL"/>
    <s v="60093"/>
    <x v="1"/>
    <n v="2682202932"/>
    <x v="0"/>
    <x v="5"/>
  </r>
  <r>
    <x v="47"/>
    <x v="1"/>
    <s v="Charlotte Kovac (charlottekovac)"/>
    <n v="10.7"/>
    <n v="1.29"/>
    <n v="11.989999999999998"/>
    <n v="850621096"/>
    <d v="2023-02-14T00:00:00"/>
    <d v="2023-02-21T00:00:00"/>
    <n v="7"/>
    <s v="Charlotte Kovac-Hutchinson"/>
    <s v="4 Oxford Street"/>
    <s v="Mexborough"/>
    <s v="South Yorkshire"/>
    <s v="S64 9RL"/>
    <x v="0"/>
    <n v="2793307367"/>
    <x v="1"/>
    <x v="2"/>
  </r>
  <r>
    <x v="48"/>
    <x v="4"/>
    <s v="sue ashdown day (sueashdownday)"/>
    <n v="7.5"/>
    <n v="1.29"/>
    <n v="8.7899999999999991"/>
    <n v="864534993"/>
    <d v="2023-04-07T00:00:00"/>
    <d v="2023-04-14T00:00:00"/>
    <n v="7"/>
    <s v="Sue Ashdown Day"/>
    <s v="40 Brockley View"/>
    <s v="London "/>
    <s v=""/>
    <s v="Se23 1SL"/>
    <x v="0"/>
    <n v="2852896238"/>
    <x v="0"/>
    <x v="6"/>
  </r>
  <r>
    <x v="48"/>
    <x v="4"/>
    <s v="sue ashdown day (sueashdownday)"/>
    <n v="7.5"/>
    <n v="1.29"/>
    <n v="8.7899999999999991"/>
    <n v="864534993"/>
    <d v="2023-04-07T00:00:00"/>
    <d v="2023-04-14T00:00:00"/>
    <n v="7"/>
    <s v="Sue Ashdown Day"/>
    <s v="40 Brockley View"/>
    <s v="London "/>
    <s v=""/>
    <s v="Se23 1SL"/>
    <x v="0"/>
    <n v="2852896238"/>
    <x v="0"/>
    <x v="6"/>
  </r>
  <r>
    <x v="49"/>
    <x v="4"/>
    <s v="Ruth Hutton (ruthiehs)"/>
    <n v="7.5"/>
    <n v="1.29"/>
    <n v="8.7899999999999991"/>
    <n v="864534993"/>
    <d v="2023-04-09T00:00:00"/>
    <d v="2023-04-14T00:00:00"/>
    <n v="5"/>
    <s v="Ruth"/>
    <s v="93 Glinton Road"/>
    <s v="Peterborough "/>
    <s v="Cambridgeshire "/>
    <s v="PE6 7DG"/>
    <x v="0"/>
    <n v="2850342527"/>
    <x v="0"/>
    <x v="9"/>
  </r>
  <r>
    <x v="50"/>
    <x v="1"/>
    <s v="Erin (dviwhfgh)"/>
    <n v="10.5"/>
    <n v="1.29"/>
    <n v="11.79"/>
    <n v="850621096"/>
    <d v="2023-04-16T00:00:00"/>
    <d v="2023-04-22T00:00:00"/>
    <n v="6"/>
    <s v="Erin Masson"/>
    <s v="9 Verney Mews"/>
    <s v="Reading"/>
    <s v=""/>
    <s v="RG30 2NT"/>
    <x v="0"/>
    <n v="2857531315"/>
    <x v="0"/>
    <x v="1"/>
  </r>
  <r>
    <x v="51"/>
    <x v="1"/>
    <s v="Cynthia (grw2tej2)"/>
    <n v="10.5"/>
    <n v="8"/>
    <n v="18.5"/>
    <n v="850621096"/>
    <d v="2023-04-17T00:00:00"/>
    <d v="2023-04-22T00:00:00"/>
    <n v="5"/>
    <s v="Cynthia Garduño"/>
    <s v="6107 oceanside Avenue"/>
    <s v="sebring"/>
    <s v="FL"/>
    <s v="33876"/>
    <x v="1"/>
    <n v="2858433595"/>
    <x v="0"/>
    <x v="5"/>
  </r>
  <r>
    <x v="52"/>
    <x v="1"/>
    <s v="Lily Fisher (lilfish61)"/>
    <n v="10.5"/>
    <n v="1.29"/>
    <n v="11.79"/>
    <n v="850621096"/>
    <d v="2023-04-29T00:00:00"/>
    <d v="2023-05-03T00:00:00"/>
    <n v="4"/>
    <s v="Lily Fisher  "/>
    <s v="10 Boston Avenue"/>
    <s v="Newcastle Upon Tyne "/>
    <s v="Tyne and Wear"/>
    <s v="NE77SR"/>
    <x v="0"/>
    <n v="2875280454"/>
    <x v="0"/>
    <x v="10"/>
  </r>
  <r>
    <x v="53"/>
    <x v="2"/>
    <s v="charlotte (c8ltrtje116sml1p)"/>
    <n v="11"/>
    <n v="1.29"/>
    <n v="12.29"/>
    <n v="863807800"/>
    <d v="2023-04-30T00:00:00"/>
    <d v="2023-05-05T00:00:00"/>
    <n v="5"/>
    <s v="Charlotte Johnson"/>
    <s v="54 Otterhole Close"/>
    <s v="Buxton"/>
    <s v=""/>
    <s v="SK17 6DX"/>
    <x v="0"/>
    <n v="2876360464"/>
    <x v="0"/>
    <x v="11"/>
  </r>
  <r>
    <x v="54"/>
    <x v="4"/>
    <s v="Holly and Dominic Myatt (hollymyatt)"/>
    <n v="7.5"/>
    <n v="1.29"/>
    <n v="8.7899999999999991"/>
    <n v="864534993"/>
    <d v="2023-07-15T00:00:00"/>
    <d v="2023-07-21T00:00:00"/>
    <n v="6"/>
    <s v="Holly Myatt"/>
    <s v="5 Tithe Close"/>
    <s v="Coalville"/>
    <s v="LEICESTERSHIRE"/>
    <s v="LE67 8LZ"/>
    <x v="0"/>
    <n v="2946491923"/>
    <x v="0"/>
    <x v="11"/>
  </r>
  <r>
    <x v="55"/>
    <x v="5"/>
    <s v="madreselva"/>
    <n v="8"/>
    <n v="3.05"/>
    <n v="11.05"/>
    <n v="948060667"/>
    <d v="2023-08-26T00:00:00"/>
    <d v="2023-08-31T00:00:00"/>
    <n v="5"/>
    <s v="Denise Rodriguez Valguarnera"/>
    <s v="Calle Carballo 5"/>
    <s v="Nigrán"/>
    <s v="Pontevedra"/>
    <s v="36391"/>
    <x v="5"/>
    <n v="2996581684"/>
    <x v="0"/>
    <x v="5"/>
  </r>
  <r>
    <x v="56"/>
    <x v="6"/>
    <s v="Carole Simmons (unclesamsimmons)"/>
    <n v="9"/>
    <n v="1.29"/>
    <n v="10.29"/>
    <n v="909556683"/>
    <d v="2023-11-07T00:00:00"/>
    <d v="2023-11-15T00:00:00"/>
    <n v="8"/>
    <s v="Carole Simmons"/>
    <s v="40 Lowell Drive"/>
    <s v="Stoke on Trent"/>
    <s v="Staffordshire"/>
    <s v="ST3 5RX"/>
    <x v="0"/>
    <n v="3069216381"/>
    <x v="0"/>
    <x v="3"/>
  </r>
  <r>
    <x v="57"/>
    <x v="2"/>
    <s v="Julieta (oauclbix)"/>
    <n v="11"/>
    <n v="1.29"/>
    <n v="12.29"/>
    <n v="863807800"/>
    <d v="2024-03-18T00:00:00"/>
    <d v="2024-03-24T00:00:00"/>
    <n v="6"/>
    <s v="Julieta Cani"/>
    <s v="241 Headley Drive"/>
    <s v="Croydon"/>
    <s v="England"/>
    <s v="CR0 0FD"/>
    <x v="0"/>
    <n v="3238975071"/>
    <x v="0"/>
    <x v="6"/>
  </r>
  <r>
    <x v="58"/>
    <x v="2"/>
    <s v="Julieta (oauclbix)"/>
    <n v="11"/>
    <n v="2.58"/>
    <n v="13.58"/>
    <n v="863807800"/>
    <d v="2024-03-28T00:00:00"/>
    <d v="2024-04-08T00:00:00"/>
    <n v="11"/>
    <s v="Julieta Cani"/>
    <s v="241 Headley Drive"/>
    <s v="Croydon"/>
    <s v="England"/>
    <s v="CR0 0FD"/>
    <x v="0"/>
    <n v="3255237608"/>
    <x v="0"/>
    <x v="6"/>
  </r>
  <r>
    <x v="59"/>
    <x v="6"/>
    <s v="Tabbie W Ibanez (qvi1f3lhufj86n2v)"/>
    <n v="9"/>
    <n v="4"/>
    <n v="13"/>
    <n v="909556683"/>
    <d v="2024-04-10T00:00:00"/>
    <d v="2024-04-20T00:00:00"/>
    <n v="10"/>
    <s v="Tabbie W Ibanez"/>
    <s v="103 Talisker Court"/>
    <s v="Apex"/>
    <s v="NC"/>
    <s v="27502"/>
    <x v="1"/>
    <n v="3267166290"/>
    <x v="0"/>
    <x v="5"/>
  </r>
  <r>
    <x v="60"/>
    <x v="0"/>
    <s v="rosie (wpkuwzm3)"/>
    <n v="9.5"/>
    <n v="1.29"/>
    <n v="10.79"/>
    <n v="850597616"/>
    <d v="2024-04-12T00:00:00"/>
    <d v="2024-04-20T00:00:00"/>
    <n v="8"/>
    <s v="Rosemary Mcmenamin"/>
    <s v="4 St. Colmans Drive"/>
    <s v="Strabane"/>
    <s v="Tyrone"/>
    <s v="BT82 9AW"/>
    <x v="0"/>
    <n v="3269229030"/>
    <x v="0"/>
    <x v="8"/>
  </r>
  <r>
    <x v="61"/>
    <x v="6"/>
    <s v="Gwenda Rice (gwendarice)"/>
    <n v="9"/>
    <n v="4"/>
    <n v="13"/>
    <n v="909556683"/>
    <d v="2024-04-24T00:00:00"/>
    <d v="2024-05-01T00:00:00"/>
    <n v="7"/>
    <s v="Gwenda D. Rice"/>
    <s v="1108 West Carpenter St"/>
    <s v="JERSEYVILLE"/>
    <s v="IL"/>
    <s v="62052"/>
    <x v="1"/>
    <n v="3280915822"/>
    <x v="0"/>
    <x v="5"/>
  </r>
  <r>
    <x v="62"/>
    <x v="0"/>
    <s v="Juliana (perxo4bvw32lo03s)"/>
    <n v="9.5"/>
    <n v="3.05"/>
    <n v="12.55"/>
    <n v="850597616"/>
    <d v="2024-05-19T00:00:00"/>
    <d v="2024-05-28T00:00:00"/>
    <n v="9"/>
    <s v="Juliana Langen"/>
    <s v="Zollernstraße 13 - 15"/>
    <s v="Aachen"/>
    <s v=""/>
    <s v="52070"/>
    <x v="2"/>
    <n v="3308350274"/>
    <x v="0"/>
    <x v="5"/>
  </r>
  <r>
    <x v="63"/>
    <x v="2"/>
    <s v=""/>
    <n v="11"/>
    <n v="4"/>
    <n v="15"/>
    <n v="863807800"/>
    <d v="2024-05-23T00:00:00"/>
    <d v="2024-05-31T00:00:00"/>
    <n v="8"/>
    <s v="J Brown"/>
    <s v="307 E Elm St"/>
    <s v="Drexel"/>
    <s v="MO"/>
    <s v="64742-8235"/>
    <x v="1"/>
    <n v="3306154939"/>
    <x v="0"/>
    <x v="5"/>
  </r>
  <r>
    <x v="64"/>
    <x v="4"/>
    <s v="Torrens Lyster (torrensl)"/>
    <n v="7.5"/>
    <n v="1.29"/>
    <n v="8.7899999999999991"/>
    <n v="864534993"/>
    <d v="2024-06-14T00:00:00"/>
    <d v="2024-06-21T00:00:00"/>
    <n v="7"/>
    <s v="Torrens Lyster"/>
    <s v="Oakley Cottage"/>
    <s v="Chinnor"/>
    <s v="Oxon"/>
    <s v="OX39 4HR"/>
    <x v="0"/>
    <n v="3333757950"/>
    <x v="0"/>
    <x v="1"/>
  </r>
  <r>
    <x v="65"/>
    <x v="1"/>
    <s v="nairaish95"/>
    <n v="10.5"/>
    <n v="1.29"/>
    <n v="11.79"/>
    <n v="850621096"/>
    <d v="2024-06-17T00:00:00"/>
    <d v="2024-06-24T00:00:00"/>
    <n v="7"/>
    <s v="Aishwarya"/>
    <s v="Fenland Court, Harry Zeital Way"/>
    <s v="Clapton"/>
    <s v=""/>
    <s v="E5 9RP"/>
    <x v="0"/>
    <n v="3330780565"/>
    <x v="0"/>
    <x v="6"/>
  </r>
  <r>
    <x v="66"/>
    <x v="1"/>
    <s v="Cara Howells (caramay23)"/>
    <n v="10.7"/>
    <n v="1.29"/>
    <n v="11.989999999999998"/>
    <n v="850621096"/>
    <d v="2024-06-19T00:00:00"/>
    <d v="2024-06-24T00:00:00"/>
    <n v="5"/>
    <s v="Cara Howells"/>
    <s v="6 St James Terrace"/>
    <s v="Hereford"/>
    <s v="England"/>
    <s v="HR1 2QJ"/>
    <x v="0"/>
    <n v="3332200039"/>
    <x v="1"/>
    <x v="3"/>
  </r>
  <r>
    <x v="67"/>
    <x v="1"/>
    <s v="tash jenks (tashjenksy)"/>
    <n v="10.5"/>
    <n v="1.29"/>
    <n v="11.79"/>
    <n v="850621096"/>
    <d v="2024-09-16T00:00:00"/>
    <d v="2024-09-25T00:00:00"/>
    <n v="9"/>
    <s v="Tash May"/>
    <s v="15 Henley Park _x000a_Yatton"/>
    <s v="Bristol"/>
    <s v="North Somerset"/>
    <s v="BS49 4JH"/>
    <x v="0"/>
    <n v="3418745809"/>
    <x v="0"/>
    <x v="7"/>
  </r>
  <r>
    <x v="68"/>
    <x v="1"/>
    <s v="Julieta (oauclbix)"/>
    <n v="10.5"/>
    <n v="1.29"/>
    <n v="11.79"/>
    <n v="850621096"/>
    <d v="2024-11-06T00:00:00"/>
    <d v="2024-11-14T00:00:00"/>
    <n v="8"/>
    <s v="Julieta Cani"/>
    <s v="241 Headley Drive"/>
    <s v="Croydon"/>
    <s v="England"/>
    <s v="CR0 0FD"/>
    <x v="0"/>
    <n v="3473331500"/>
    <x v="0"/>
    <x v="6"/>
  </r>
  <r>
    <x v="69"/>
    <x v="1"/>
    <s v="Hattie (lbhbgkjk)"/>
    <n v="10.5"/>
    <n v="1.29"/>
    <n v="11.79"/>
    <n v="850621096"/>
    <d v="2024-12-29T00:00:00"/>
    <d v="2025-01-04T00:00:00"/>
    <n v="6"/>
    <s v="Hattie Wakefield"/>
    <s v="20A, Market Place,"/>
    <s v="Nottingham"/>
    <s v="Nottinghamshire"/>
    <s v="Ng13 8ap"/>
    <x v="0"/>
    <n v="3556597123"/>
    <x v="0"/>
    <x v="11"/>
  </r>
  <r>
    <x v="70"/>
    <x v="2"/>
    <s v="Torrens Lyster (torrensl)"/>
    <n v="11"/>
    <n v="1.29"/>
    <n v="12.29"/>
    <n v="863807800"/>
    <d v="2025-01-09T00:00:00"/>
    <d v="2025-01-15T00:00:00"/>
    <n v="6"/>
    <s v="Torrens Lyster"/>
    <s v="Oakley Cottage"/>
    <s v="Chinnor"/>
    <s v="Oxon"/>
    <s v="OX39 4HR"/>
    <x v="0"/>
    <n v="3567221823"/>
    <x v="0"/>
    <x v="1"/>
  </r>
  <r>
    <x v="71"/>
    <x v="2"/>
    <s v="Tammy Dodge (tldodge)"/>
    <n v="11"/>
    <n v="4"/>
    <n v="15"/>
    <n v="863807800"/>
    <d v="2025-02-11T00:00:00"/>
    <d v="2025-02-18T00:00:00"/>
    <n v="7"/>
    <s v="Tammy Dodge"/>
    <s v="2611 Joe Adler Dr."/>
    <s v="PLAINFIELD"/>
    <s v="IL"/>
    <s v="60586"/>
    <x v="1"/>
    <n v="3600153231"/>
    <x v="0"/>
    <x v="5"/>
  </r>
  <r>
    <x v="72"/>
    <x v="0"/>
    <s v="Katherine Fleming (8wu0xvii)"/>
    <n v="9.6999999999999993"/>
    <n v="4"/>
    <n v="13.7"/>
    <n v="850597616"/>
    <d v="2025-05-18T00:00:00"/>
    <d v="2025-05-23T00:00:00"/>
    <n v="5"/>
    <s v="Katherine Fleming"/>
    <s v="1162 S Grayling Avenue"/>
    <s v="Meridian"/>
    <s v="ID"/>
    <s v="83642"/>
    <x v="1"/>
    <n v="3690778811"/>
    <x v="1"/>
    <x v="5"/>
  </r>
  <r>
    <x v="73"/>
    <x v="4"/>
    <s v="Rachel Bright (dsqt8oqw)"/>
    <n v="7.5"/>
    <n v="2"/>
    <n v="9.5"/>
    <n v="864534993"/>
    <d v="2025-12-04T00:00:00"/>
    <d v="2025-12-11T00:00:00"/>
    <n v="7"/>
    <s v="Rachel Bright"/>
    <s v="7A Mexfield Road"/>
    <s v="London"/>
    <s v=""/>
    <s v="SW15 2RG"/>
    <x v="0"/>
    <n v="3898123533"/>
    <x v="0"/>
    <x v="6"/>
  </r>
  <r>
    <x v="74"/>
    <x v="6"/>
    <s v="Lisa (wjc2i2rmwq0l1bl8)"/>
    <n v="9"/>
    <n v="2"/>
    <n v="11"/>
    <n v="909556683"/>
    <d v="2026-03-18T00:00:00"/>
    <d v="2026-03-24T00:00:00"/>
    <n v="6"/>
    <s v="Lisa Armstrong"/>
    <s v="34 Connaught Avenue"/>
    <s v="Grimsby"/>
    <s v="Lincolnshire"/>
    <s v="DN32 0BS"/>
    <x v="0"/>
    <n v="4004229446"/>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92E8F2-3901-F344-B1A5-EA7C3A92D67C}" name="PivotTable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30" firstHeaderRow="1" firstDataRow="1" firstDataCol="1"/>
  <pivotFields count="22">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items count="8">
        <item x="0"/>
        <item x="2"/>
        <item x="3"/>
        <item x="4"/>
        <item x="6"/>
        <item x="5"/>
        <item x="1"/>
        <item t="default"/>
      </items>
    </pivotField>
    <pivotField showAll="0"/>
    <pivotField showAll="0"/>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axis="axisRow" multipleItemSelectionAllowed="1" showAll="0" sortType="ascending">
      <items count="13">
        <item x="11"/>
        <item x="9"/>
        <item x="6"/>
        <item x="10"/>
        <item x="0"/>
        <item x="8"/>
        <item h="1" x="5"/>
        <item x="4"/>
        <item x="1"/>
        <item x="7"/>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s>
  <rowFields count="1">
    <field x="18"/>
  </rowFields>
  <rowItems count="12">
    <i>
      <x v="3"/>
    </i>
    <i>
      <x v="7"/>
    </i>
    <i>
      <x v="4"/>
    </i>
    <i>
      <x v="1"/>
    </i>
    <i>
      <x/>
    </i>
    <i>
      <x v="5"/>
    </i>
    <i>
      <x v="9"/>
    </i>
    <i>
      <x v="10"/>
    </i>
    <i>
      <x v="8"/>
    </i>
    <i>
      <x v="11"/>
    </i>
    <i>
      <x v="2"/>
    </i>
    <i t="grand">
      <x/>
    </i>
  </rowItems>
  <colItems count="1">
    <i/>
  </colItems>
  <dataFields count="1">
    <dataField name="Sum of Order Total" fld="5" baseField="0" baseItem="0" numFmtId="164"/>
  </dataFields>
  <formats count="1">
    <format dxfId="52">
      <pivotArea outline="0" collapsedLevelsAreSubtotals="1" fieldPosition="0"/>
    </format>
  </formats>
  <chartFormats count="2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8" count="1" selected="0">
            <x v="2"/>
          </reference>
        </references>
      </pivotArea>
    </chartFormat>
    <chartFormat chart="0" format="3">
      <pivotArea type="data" outline="0" fieldPosition="0">
        <references count="2">
          <reference field="4294967294" count="1" selected="0">
            <x v="0"/>
          </reference>
          <reference field="18" count="1" selected="0">
            <x v="11"/>
          </reference>
        </references>
      </pivotArea>
    </chartFormat>
    <chartFormat chart="0" format="4">
      <pivotArea type="data" outline="0" fieldPosition="0">
        <references count="2">
          <reference field="4294967294" count="1" selected="0">
            <x v="0"/>
          </reference>
          <reference field="18" count="1" selected="0">
            <x v="8"/>
          </reference>
        </references>
      </pivotArea>
    </chartFormat>
    <chartFormat chart="0" format="5">
      <pivotArea type="data" outline="0" fieldPosition="0">
        <references count="2">
          <reference field="4294967294" count="1" selected="0">
            <x v="0"/>
          </reference>
          <reference field="18" count="1" selected="0">
            <x v="10"/>
          </reference>
        </references>
      </pivotArea>
    </chartFormat>
    <chartFormat chart="0" format="6">
      <pivotArea type="data" outline="0" fieldPosition="0">
        <references count="2">
          <reference field="4294967294" count="1" selected="0">
            <x v="0"/>
          </reference>
          <reference field="18" count="1" selected="0">
            <x v="9"/>
          </reference>
        </references>
      </pivotArea>
    </chartFormat>
    <chartFormat chart="0" format="7">
      <pivotArea type="data" outline="0" fieldPosition="0">
        <references count="2">
          <reference field="4294967294" count="1" selected="0">
            <x v="0"/>
          </reference>
          <reference field="18" count="1" selected="0">
            <x v="5"/>
          </reference>
        </references>
      </pivotArea>
    </chartFormat>
    <chartFormat chart="0" format="8">
      <pivotArea type="data" outline="0" fieldPosition="0">
        <references count="2">
          <reference field="4294967294" count="1" selected="0">
            <x v="0"/>
          </reference>
          <reference field="18" count="1" selected="0">
            <x v="0"/>
          </reference>
        </references>
      </pivotArea>
    </chartFormat>
    <chartFormat chart="0" format="9">
      <pivotArea type="data" outline="0" fieldPosition="0">
        <references count="2">
          <reference field="4294967294" count="1" selected="0">
            <x v="0"/>
          </reference>
          <reference field="18" count="1" selected="0">
            <x v="1"/>
          </reference>
        </references>
      </pivotArea>
    </chartFormat>
    <chartFormat chart="0" format="10">
      <pivotArea type="data" outline="0" fieldPosition="0">
        <references count="2">
          <reference field="4294967294" count="1" selected="0">
            <x v="0"/>
          </reference>
          <reference field="18" count="1" selected="0">
            <x v="4"/>
          </reference>
        </references>
      </pivotArea>
    </chartFormat>
    <chartFormat chart="0" format="11">
      <pivotArea type="data" outline="0" fieldPosition="0">
        <references count="2">
          <reference field="4294967294" count="1" selected="0">
            <x v="0"/>
          </reference>
          <reference field="18" count="1" selected="0">
            <x v="7"/>
          </reference>
        </references>
      </pivotArea>
    </chartFormat>
    <chartFormat chart="0" format="12">
      <pivotArea type="data" outline="0" fieldPosition="0">
        <references count="2">
          <reference field="4294967294" count="1" selected="0">
            <x v="0"/>
          </reference>
          <reference field="18" count="1" selected="0">
            <x v="3"/>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8" count="1" selected="0">
            <x v="3"/>
          </reference>
        </references>
      </pivotArea>
    </chartFormat>
    <chartFormat chart="5" format="27">
      <pivotArea type="data" outline="0" fieldPosition="0">
        <references count="2">
          <reference field="4294967294" count="1" selected="0">
            <x v="0"/>
          </reference>
          <reference field="18" count="1" selected="0">
            <x v="7"/>
          </reference>
        </references>
      </pivotArea>
    </chartFormat>
    <chartFormat chart="5" format="28">
      <pivotArea type="data" outline="0" fieldPosition="0">
        <references count="2">
          <reference field="4294967294" count="1" selected="0">
            <x v="0"/>
          </reference>
          <reference field="18" count="1" selected="0">
            <x v="4"/>
          </reference>
        </references>
      </pivotArea>
    </chartFormat>
    <chartFormat chart="5" format="29">
      <pivotArea type="data" outline="0" fieldPosition="0">
        <references count="2">
          <reference field="4294967294" count="1" selected="0">
            <x v="0"/>
          </reference>
          <reference field="18" count="1" selected="0">
            <x v="1"/>
          </reference>
        </references>
      </pivotArea>
    </chartFormat>
    <chartFormat chart="5" format="30">
      <pivotArea type="data" outline="0" fieldPosition="0">
        <references count="2">
          <reference field="4294967294" count="1" selected="0">
            <x v="0"/>
          </reference>
          <reference field="18" count="1" selected="0">
            <x v="0"/>
          </reference>
        </references>
      </pivotArea>
    </chartFormat>
    <chartFormat chart="5" format="31">
      <pivotArea type="data" outline="0" fieldPosition="0">
        <references count="2">
          <reference field="4294967294" count="1" selected="0">
            <x v="0"/>
          </reference>
          <reference field="18" count="1" selected="0">
            <x v="5"/>
          </reference>
        </references>
      </pivotArea>
    </chartFormat>
    <chartFormat chart="5" format="32">
      <pivotArea type="data" outline="0" fieldPosition="0">
        <references count="2">
          <reference field="4294967294" count="1" selected="0">
            <x v="0"/>
          </reference>
          <reference field="18" count="1" selected="0">
            <x v="9"/>
          </reference>
        </references>
      </pivotArea>
    </chartFormat>
    <chartFormat chart="5" format="33">
      <pivotArea type="data" outline="0" fieldPosition="0">
        <references count="2">
          <reference field="4294967294" count="1" selected="0">
            <x v="0"/>
          </reference>
          <reference field="18" count="1" selected="0">
            <x v="10"/>
          </reference>
        </references>
      </pivotArea>
    </chartFormat>
    <chartFormat chart="5" format="34">
      <pivotArea type="data" outline="0" fieldPosition="0">
        <references count="2">
          <reference field="4294967294" count="1" selected="0">
            <x v="0"/>
          </reference>
          <reference field="18" count="1" selected="0">
            <x v="8"/>
          </reference>
        </references>
      </pivotArea>
    </chartFormat>
    <chartFormat chart="5" format="35">
      <pivotArea type="data" outline="0" fieldPosition="0">
        <references count="2">
          <reference field="4294967294" count="1" selected="0">
            <x v="0"/>
          </reference>
          <reference field="18" count="1" selected="0">
            <x v="11"/>
          </reference>
        </references>
      </pivotArea>
    </chartFormat>
    <chartFormat chart="5" format="3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21F91-9E1F-7144-A77E-A3564E19F0B1}" name="PivotTable1"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1" firstHeaderRow="1" firstDataRow="1" firstDataCol="1"/>
  <pivotFields count="22">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items count="8">
        <item x="0"/>
        <item x="2"/>
        <item x="3"/>
        <item x="4"/>
        <item x="6"/>
        <item x="5"/>
        <item x="1"/>
        <item t="default"/>
      </items>
    </pivotField>
    <pivotField showAll="0"/>
    <pivotField showAll="0"/>
    <pivotField showAll="0"/>
    <pivotField dataField="1" showAll="0"/>
    <pivotField showAll="0"/>
    <pivotField numFmtId="14" showAll="0"/>
    <pivotField numFmtId="14" showAll="0"/>
    <pivotField showAll="0"/>
    <pivotField showAll="0"/>
    <pivotField showAll="0"/>
    <pivotField showAll="0"/>
    <pivotField showAll="0"/>
    <pivotField showAll="0"/>
    <pivotField showAll="0">
      <items count="7">
        <item x="4"/>
        <item x="2"/>
        <item x="3"/>
        <item x="5"/>
        <item x="0"/>
        <item x="1"/>
        <item t="default"/>
      </items>
    </pivotField>
    <pivotField showAll="0"/>
    <pivotField showAll="0">
      <items count="3">
        <item x="0"/>
        <item x="1"/>
        <item t="default"/>
      </items>
    </pivotField>
    <pivotField showAll="0"/>
    <pivotField axis="axisRow" showAll="0">
      <items count="15">
        <item sd="0" x="0"/>
        <item sd="0" x="1"/>
        <item sd="0" x="2"/>
        <item sd="0" x="3"/>
        <item sd="0" x="4"/>
        <item sd="0" x="5"/>
        <item sd="0" x="6"/>
        <item sd="0" x="7"/>
        <item sd="0" x="8"/>
        <item x="9"/>
        <item x="10"/>
        <item sd="0" x="11"/>
        <item sd="0" x="12"/>
        <item sd="0" x="13"/>
        <item t="default"/>
      </items>
    </pivotField>
    <pivotField showAll="0">
      <items count="7">
        <item sd="0" x="0"/>
        <item sd="0" x="1"/>
        <item sd="0" x="2"/>
        <item x="3"/>
        <item sd="0" x="4"/>
        <item sd="0" x="5"/>
        <item t="default"/>
      </items>
    </pivotField>
    <pivotField axis="axisRow" showAll="0">
      <items count="10">
        <item sd="0" x="0"/>
        <item sd="0" x="1"/>
        <item sd="0" x="2"/>
        <item sd="0" x="3"/>
        <item sd="0" x="4"/>
        <item sd="0" x="5"/>
        <item sd="0" x="6"/>
        <item sd="0" x="7"/>
        <item sd="0" x="8"/>
        <item t="default"/>
      </items>
    </pivotField>
  </pivotFields>
  <rowFields count="2">
    <field x="21"/>
    <field x="19"/>
  </rowFields>
  <rowItems count="8">
    <i>
      <x v="1"/>
    </i>
    <i>
      <x v="2"/>
    </i>
    <i>
      <x v="3"/>
    </i>
    <i>
      <x v="4"/>
    </i>
    <i>
      <x v="5"/>
    </i>
    <i>
      <x v="6"/>
    </i>
    <i>
      <x v="7"/>
    </i>
    <i t="grand">
      <x/>
    </i>
  </rowItems>
  <colItems count="1">
    <i/>
  </colItems>
  <dataFields count="1">
    <dataField name="Sum of Order Total" fld="5" baseField="0" baseItem="0" numFmtId="39"/>
  </dataFields>
  <formats count="10">
    <format dxfId="62">
      <pivotArea dataOnly="0" outline="0" axis="axisValues" fieldPosition="0"/>
    </format>
    <format dxfId="61">
      <pivotArea grandRow="1" outline="0" collapsedLevelsAreSubtotals="1" fieldPosition="0"/>
    </format>
    <format dxfId="60">
      <pivotArea collapsedLevelsAreSubtotals="1" fieldPosition="0">
        <references count="1">
          <reference field="21" count="1">
            <x v="1"/>
          </reference>
        </references>
      </pivotArea>
    </format>
    <format dxfId="59">
      <pivotArea collapsedLevelsAreSubtotals="1" fieldPosition="0">
        <references count="1">
          <reference field="21" count="1">
            <x v="2"/>
          </reference>
        </references>
      </pivotArea>
    </format>
    <format dxfId="58">
      <pivotArea collapsedLevelsAreSubtotals="1" fieldPosition="0">
        <references count="1">
          <reference field="21" count="1">
            <x v="3"/>
          </reference>
        </references>
      </pivotArea>
    </format>
    <format dxfId="57">
      <pivotArea collapsedLevelsAreSubtotals="1" fieldPosition="0">
        <references count="1">
          <reference field="21" count="1">
            <x v="4"/>
          </reference>
        </references>
      </pivotArea>
    </format>
    <format dxfId="56">
      <pivotArea collapsedLevelsAreSubtotals="1" fieldPosition="0">
        <references count="1">
          <reference field="21" count="1">
            <x v="5"/>
          </reference>
        </references>
      </pivotArea>
    </format>
    <format dxfId="55">
      <pivotArea collapsedLevelsAreSubtotals="1" fieldPosition="0">
        <references count="1">
          <reference field="21" count="1">
            <x v="6"/>
          </reference>
        </references>
      </pivotArea>
    </format>
    <format dxfId="54">
      <pivotArea collapsedLevelsAreSubtotals="1" fieldPosition="0">
        <references count="1">
          <reference field="21" count="1">
            <x v="7"/>
          </reference>
        </references>
      </pivotArea>
    </format>
    <format dxfId="53">
      <pivotArea outline="0" fieldPosition="0">
        <references count="1">
          <reference field="4294967294" count="1">
            <x v="0"/>
          </reference>
        </references>
      </pivotArea>
    </format>
  </formats>
  <chartFormats count="4">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1" count="1" selected="0">
            <x v="2"/>
          </reference>
        </references>
      </pivotArea>
    </chartFormat>
    <chartFormat chart="6" format="3">
      <pivotArea type="data" outline="0" fieldPosition="0">
        <references count="2">
          <reference field="4294967294" count="1" selected="0">
            <x v="0"/>
          </reference>
          <reference field="21" count="1" selected="0">
            <x v="5"/>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E007D1-25B1-BD41-A4E4-B69C711452F6}"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B45" firstHeaderRow="1" firstDataRow="1" firstDataCol="1"/>
  <pivotFields count="22">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axis="axisRow" showAll="0" sortType="ascending">
      <items count="8">
        <item x="0"/>
        <item x="2"/>
        <item x="3"/>
        <item x="4"/>
        <item x="6"/>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4" showAll="0"/>
    <pivotField numFmtId="14" showAll="0"/>
    <pivotField showAll="0"/>
    <pivotField showAll="0"/>
    <pivotField showAll="0"/>
    <pivotField showAll="0"/>
    <pivotField showAll="0"/>
    <pivotField showAll="0"/>
    <pivotField showAll="0">
      <items count="7">
        <item x="4"/>
        <item x="2"/>
        <item x="3"/>
        <item x="5"/>
        <item x="0"/>
        <item x="1"/>
        <item t="default"/>
      </items>
    </pivotField>
    <pivotField showAll="0"/>
    <pivotField showAll="0">
      <items count="3">
        <item x="0"/>
        <item x="1"/>
        <item t="default"/>
      </items>
    </pivotField>
    <pivotField showAll="0"/>
    <pivotField showAll="0" defaultSubtotal="0"/>
    <pivotField showAll="0" defaultSubtotal="0"/>
    <pivotField showAll="0" defaultSubtotal="0">
      <items count="9">
        <item x="0"/>
        <item x="1"/>
        <item x="2"/>
        <item x="3"/>
        <item x="4"/>
        <item x="5"/>
        <item x="6"/>
        <item x="7"/>
        <item x="8"/>
      </items>
    </pivotField>
  </pivotFields>
  <rowFields count="1">
    <field x="1"/>
  </rowFields>
  <rowItems count="8">
    <i>
      <x v="2"/>
    </i>
    <i>
      <x v="5"/>
    </i>
    <i>
      <x v="4"/>
    </i>
    <i>
      <x v="3"/>
    </i>
    <i>
      <x/>
    </i>
    <i>
      <x v="1"/>
    </i>
    <i>
      <x v="6"/>
    </i>
    <i t="grand">
      <x/>
    </i>
  </rowItems>
  <colItems count="1">
    <i/>
  </colItems>
  <dataFields count="1">
    <dataField name="Sum of Order Total" fld="5" baseField="0" baseItem="0"/>
  </dataFields>
  <formats count="1">
    <format dxfId="63">
      <pivotArea collapsedLevelsAreSubtotals="1" fieldPosition="0">
        <references count="1">
          <reference field="1" count="0"/>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0183A70-7874-284D-B424-BCCE494D0D97}" autoFormatId="16" applyNumberFormats="0" applyBorderFormats="0" applyFontFormats="0" applyPatternFormats="0" applyAlignmentFormats="0" applyWidthHeightFormats="0">
  <queryTableRefresh nextId="22">
    <queryTableFields count="14">
      <queryTableField id="1" name="Sale Date" tableColumnId="1"/>
      <queryTableField id="2" name="Item Name" tableColumnId="2"/>
      <queryTableField id="4" name="Earring Price" tableColumnId="4"/>
      <queryTableField id="5" name="Shipping Price" tableColumnId="5"/>
      <queryTableField id="6" name="Order Total" tableColumnId="6"/>
      <queryTableField id="7" name="Listing ID" tableColumnId="7"/>
      <queryTableField id="8" name="Date Paid" tableColumnId="8"/>
      <queryTableField id="9" name="Date Shipped" tableColumnId="9"/>
      <queryTableField id="10" name="Days to Ship" tableColumnId="10"/>
      <queryTableField id="13" name="Ship City" tableColumnId="13"/>
      <queryTableField id="16" name="Ship Country" tableColumnId="16"/>
      <queryTableField id="17" name="Order ID" tableColumnId="17"/>
      <queryTableField id="18" name="Hardware" tableColumnId="18"/>
      <queryTableField id="19" name="UK Region" tableColumnId="19"/>
    </queryTableFields>
    <queryTableDeletedFields count="6">
      <deletedField name="Ship State"/>
      <deletedField name="Buyer"/>
      <deletedField name="Ship Name"/>
      <deletedField name="Ship Address1"/>
      <deletedField name="Ship State"/>
      <deletedField name="Ship Zipcod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9A964734-F395-8D40-B81B-201DE7D012EB}" sourceName="Item Name">
  <pivotTables>
    <pivotTable tabId="11" name="PivotTable1"/>
    <pivotTable tabId="11" name="PivotTable3"/>
    <pivotTable tabId="11" name="PivotTable2"/>
  </pivotTables>
  <data>
    <tabular pivotCacheId="677445197" sortOrder="descending">
      <items count="7">
        <i x="1" s="1"/>
        <i x="5" s="1"/>
        <i x="6"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rdware" xr10:uid="{1820E027-57ED-8145-9CD0-43DD7724B7B6}" sourceName="Hardware">
  <pivotTables>
    <pivotTable tabId="11" name="PivotTable1"/>
    <pivotTable tabId="11" name="PivotTable2"/>
    <pivotTable tabId="11" name="PivotTable3"/>
  </pivotTables>
  <data>
    <tabular pivotCacheId="6774451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Country" xr10:uid="{1CC286DF-69B5-EB4F-B663-7474CE297242}" sourceName="Ship Country">
  <pivotTables>
    <pivotTable tabId="11" name="PivotTable1"/>
    <pivotTable tabId="11" name="PivotTable3"/>
  </pivotTables>
  <data>
    <tabular pivotCacheId="677445197">
      <items count="6">
        <i x="4" s="1"/>
        <i x="2" s="1"/>
        <i x="3" s="1"/>
        <i x="5"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ame 1" xr10:uid="{11062572-C05A-3E49-9539-02DB1AA75D0E}" cache="Slicer_Item_Name" caption="Item Name" style="SlicerStyleDark5" lockedPosition="1" rowHeight="251883"/>
  <slicer name="Hardware 1" xr10:uid="{AEF23626-5891-194A-8DCF-810FF7D15956}" cache="Slicer_Hardware" caption="Hardware" columnCount="2" style="SlicerStyleDark5" lockedPosition="1" rowHeight="251883"/>
  <slicer name="Ship Country 1" xr10:uid="{93F55C52-5D74-3B42-9386-D6A633D71760}" cache="Slicer_Ship_Country" caption="Ship Country" style="SlicerStyleDark5" lockedPosition="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ame" xr10:uid="{39F9BE4F-F9F9-6F41-9B35-E69313F55E49}" cache="Slicer_Item_Name" caption="Item Name" style="SlicerStyleDark5" rowHeight="251883"/>
  <slicer name="Hardware" xr10:uid="{3D799C69-2BCF-CB46-95BF-76C578B04D79}" cache="Slicer_Hardware" caption="Hardware" style="SlicerStyleDark5" rowHeight="251883"/>
  <slicer name="Ship Country" xr10:uid="{755BDE69-E4A8-A047-BF71-2C54A727EBE1}" cache="Slicer_Ship_Country" caption="Ship Country" style="SlicerStyleDark5"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F8D4A2-E5B9-CE4B-AC2F-5023170AE676}" name="CityList" displayName="CityList" ref="A1:B65" totalsRowShown="0">
  <autoFilter ref="A1:B65" xr:uid="{BAF8D4A2-E5B9-CE4B-AC2F-5023170AE676}"/>
  <tableColumns count="2">
    <tableColumn id="1" xr3:uid="{5AD6BA0F-46C1-D744-B451-683A774D5CC5}" name="Ship City" dataDxfId="73"/>
    <tableColumn id="2" xr3:uid="{2C0B955F-4625-6543-8634-3EE6A5C208C4}" name="UK Region" dataDxfId="7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BD979-2523-E048-BE08-719F8B820746}" name="EtsySoldOrderItems2020" displayName="EtsySoldOrderItems2020" ref="A1:N78" tableType="queryTable" totalsRowShown="0">
  <autoFilter ref="A1:N78" xr:uid="{CE2BD979-2523-E048-BE08-719F8B820746}"/>
  <tableColumns count="14">
    <tableColumn id="1" xr3:uid="{6EC54745-F02D-0E40-A503-027650C77F50}" uniqueName="1" name="Sale Date" queryTableFieldId="1" dataDxfId="71"/>
    <tableColumn id="2" xr3:uid="{3A298084-44D0-9444-8D65-CDD7D5A1C7A5}" uniqueName="2" name="Item Name" queryTableFieldId="2" dataDxfId="70"/>
    <tableColumn id="4" xr3:uid="{946DE9E1-12A2-744E-ADA1-E20CA1E40C5C}" uniqueName="4" name="Earring Price" queryTableFieldId="4"/>
    <tableColumn id="5" xr3:uid="{4E1F7047-88BA-A94A-A143-DDBAA0750858}" uniqueName="5" name="Shipping Price" queryTableFieldId="5"/>
    <tableColumn id="6" xr3:uid="{FDD5B739-4274-1B46-84E7-6A95853CEC52}" uniqueName="6" name="Order Total" queryTableFieldId="6"/>
    <tableColumn id="7" xr3:uid="{3809E3D6-A5B6-C141-A97B-DD24D99BACC0}" uniqueName="7" name="Listing ID" queryTableFieldId="7"/>
    <tableColumn id="8" xr3:uid="{29619197-8E5B-5948-B1E1-BEFCFD4CDE08}" uniqueName="8" name="Date Paid" queryTableFieldId="8" dataDxfId="69"/>
    <tableColumn id="9" xr3:uid="{A1FF9E4B-9AA0-0449-8691-915D337A6CBE}" uniqueName="9" name="Date Shipped" queryTableFieldId="9" dataDxfId="68"/>
    <tableColumn id="10" xr3:uid="{B80D749B-4B80-264D-9D22-A65BB19F77FC}" uniqueName="10" name="Days to Ship" queryTableFieldId="10"/>
    <tableColumn id="13" xr3:uid="{22FDD94A-5BD5-8545-BC8D-3B3AC868BFB9}" uniqueName="13" name="Ship City" queryTableFieldId="13" dataDxfId="67"/>
    <tableColumn id="16" xr3:uid="{2B8086F8-478C-6E4E-B0EC-EB04FB8CBECB}" uniqueName="16" name="Ship Country" queryTableFieldId="16" dataDxfId="66"/>
    <tableColumn id="17" xr3:uid="{639D1421-5E2D-3F49-87D0-7788E0B4D93E}" uniqueName="17" name="Order ID" queryTableFieldId="17"/>
    <tableColumn id="18" xr3:uid="{256AAF16-75A9-FA40-9CBA-0E27D45DE6A1}" uniqueName="18" name="Hardware" queryTableFieldId="18" dataDxfId="65"/>
    <tableColumn id="19" xr3:uid="{D60727ED-BFE2-1F44-8617-AA662643536A}" uniqueName="19" name="UK Region" queryTableFieldId="19" dataDxfId="6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3EBEE803-5EBC-DB4D-80F4-A82DF4DF08C1}" sourceName="Sale Date">
  <pivotTables>
    <pivotTable tabId="11" name="PivotTable1"/>
  </pivotTables>
  <state minimalRefreshVersion="6" lastRefreshVersion="6" pivotCacheId="677445197" filterType="unknown">
    <bounds startDate="2020-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45F798CD-5163-204B-A208-A35A61653EDA}" cache="NativeTimeline_Sale_Date" caption="Sale Date" level="2" selectionLevel="2" scrollPosition="2020-08-13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4F1F4-CFC2-8944-85FB-B6D2CB6EEAE4}">
  <sheetPr>
    <outlinePr showOutlineSymbols="0"/>
  </sheetPr>
  <dimension ref="A1:W31"/>
  <sheetViews>
    <sheetView showGridLines="0" showRowColHeaders="0" tabSelected="1" showOutlineSymbols="0" zoomScale="111" zoomScaleNormal="112" workbookViewId="0">
      <selection sqref="A1:W5"/>
    </sheetView>
  </sheetViews>
  <sheetFormatPr baseColWidth="10" defaultRowHeight="16" x14ac:dyDescent="0.2"/>
  <cols>
    <col min="1" max="1" width="1.83203125" customWidth="1"/>
    <col min="13" max="13" width="10.83203125" customWidth="1"/>
    <col min="15" max="15" width="1.83203125" customWidth="1"/>
    <col min="19" max="19" width="1.83203125" customWidth="1"/>
  </cols>
  <sheetData>
    <row r="1" spans="1:23" ht="16" customHeight="1" x14ac:dyDescent="0.2">
      <c r="A1" s="7" t="s">
        <v>113</v>
      </c>
      <c r="B1" s="7"/>
      <c r="C1" s="7"/>
      <c r="D1" s="7"/>
      <c r="E1" s="7"/>
      <c r="F1" s="7"/>
      <c r="G1" s="7"/>
      <c r="H1" s="7"/>
      <c r="I1" s="7"/>
      <c r="J1" s="7"/>
      <c r="K1" s="7"/>
      <c r="L1" s="7"/>
      <c r="M1" s="7"/>
      <c r="N1" s="7"/>
      <c r="O1" s="7"/>
      <c r="P1" s="7"/>
      <c r="Q1" s="7"/>
      <c r="R1" s="7"/>
      <c r="S1" s="7"/>
      <c r="T1" s="7"/>
      <c r="U1" s="7"/>
      <c r="V1" s="7"/>
      <c r="W1" s="7"/>
    </row>
    <row r="2" spans="1:23" ht="16" customHeight="1" x14ac:dyDescent="0.2">
      <c r="A2" s="7"/>
      <c r="B2" s="7"/>
      <c r="C2" s="7"/>
      <c r="D2" s="7"/>
      <c r="E2" s="7"/>
      <c r="F2" s="7"/>
      <c r="G2" s="7"/>
      <c r="H2" s="7"/>
      <c r="I2" s="7"/>
      <c r="J2" s="7"/>
      <c r="K2" s="7"/>
      <c r="L2" s="7"/>
      <c r="M2" s="7"/>
      <c r="N2" s="7"/>
      <c r="O2" s="7"/>
      <c r="P2" s="7"/>
      <c r="Q2" s="7"/>
      <c r="R2" s="7"/>
      <c r="S2" s="7"/>
      <c r="T2" s="7"/>
      <c r="U2" s="7"/>
      <c r="V2" s="7"/>
      <c r="W2" s="7"/>
    </row>
    <row r="3" spans="1:23" ht="16" customHeight="1" x14ac:dyDescent="0.2">
      <c r="A3" s="7"/>
      <c r="B3" s="7"/>
      <c r="C3" s="7"/>
      <c r="D3" s="7"/>
      <c r="E3" s="7"/>
      <c r="F3" s="7"/>
      <c r="G3" s="7"/>
      <c r="H3" s="7"/>
      <c r="I3" s="7"/>
      <c r="J3" s="7"/>
      <c r="K3" s="7"/>
      <c r="L3" s="7"/>
      <c r="M3" s="7"/>
      <c r="N3" s="7"/>
      <c r="O3" s="7"/>
      <c r="P3" s="7"/>
      <c r="Q3" s="7"/>
      <c r="R3" s="7"/>
      <c r="S3" s="7"/>
      <c r="T3" s="7"/>
      <c r="U3" s="7"/>
      <c r="V3" s="7"/>
      <c r="W3" s="7"/>
    </row>
    <row r="4" spans="1:23" ht="16" customHeight="1" x14ac:dyDescent="0.2">
      <c r="A4" s="7"/>
      <c r="B4" s="7"/>
      <c r="C4" s="7"/>
      <c r="D4" s="7"/>
      <c r="E4" s="7"/>
      <c r="F4" s="7"/>
      <c r="G4" s="7"/>
      <c r="H4" s="7"/>
      <c r="I4" s="7"/>
      <c r="J4" s="7"/>
      <c r="K4" s="7"/>
      <c r="L4" s="7"/>
      <c r="M4" s="7"/>
      <c r="N4" s="7"/>
      <c r="O4" s="7"/>
      <c r="P4" s="7"/>
      <c r="Q4" s="7"/>
      <c r="R4" s="7"/>
      <c r="S4" s="7"/>
      <c r="T4" s="7"/>
      <c r="U4" s="7"/>
      <c r="V4" s="7"/>
      <c r="W4" s="7"/>
    </row>
    <row r="5" spans="1:23" ht="16" customHeight="1" x14ac:dyDescent="0.2">
      <c r="A5" s="7"/>
      <c r="B5" s="7"/>
      <c r="C5" s="7"/>
      <c r="D5" s="7"/>
      <c r="E5" s="7"/>
      <c r="F5" s="7"/>
      <c r="G5" s="7"/>
      <c r="H5" s="7"/>
      <c r="I5" s="7"/>
      <c r="J5" s="7"/>
      <c r="K5" s="7"/>
      <c r="L5" s="7"/>
      <c r="M5" s="7"/>
      <c r="N5" s="7"/>
      <c r="O5" s="7"/>
      <c r="P5" s="7"/>
      <c r="Q5" s="7"/>
      <c r="R5" s="7"/>
      <c r="S5" s="7"/>
      <c r="T5" s="7"/>
      <c r="U5" s="7"/>
      <c r="V5" s="7"/>
      <c r="W5" s="7"/>
    </row>
    <row r="6" spans="1:23" ht="5" customHeight="1" x14ac:dyDescent="0.2"/>
    <row r="10" spans="1:23" ht="5" customHeight="1" x14ac:dyDescent="0.2"/>
    <row r="15" spans="1:23" ht="5" customHeight="1" x14ac:dyDescent="0.2"/>
    <row r="18" ht="17" customHeight="1" x14ac:dyDescent="0.2"/>
    <row r="19" ht="5" customHeight="1" x14ac:dyDescent="0.2"/>
    <row r="20" ht="17" customHeight="1" x14ac:dyDescent="0.2"/>
    <row r="21" ht="15" customHeight="1" x14ac:dyDescent="0.2"/>
    <row r="31" ht="5" customHeight="1" x14ac:dyDescent="0.2"/>
  </sheetData>
  <sheetProtection sheet="1" objects="1" scenarios="1" selectLockedCells="1"/>
  <mergeCells count="1">
    <mergeCell ref="A1:W5"/>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591E-A198-C148-BFC3-CE81A98C1E03}">
  <dimension ref="A1:B64"/>
  <sheetViews>
    <sheetView workbookViewId="0">
      <selection activeCell="A2" sqref="A2"/>
    </sheetView>
  </sheetViews>
  <sheetFormatPr baseColWidth="10" defaultRowHeight="16" x14ac:dyDescent="0.2"/>
  <cols>
    <col min="1" max="1" width="18.83203125" bestFit="1" customWidth="1"/>
    <col min="2" max="2" width="22.83203125" customWidth="1"/>
  </cols>
  <sheetData>
    <row r="1" spans="1:2" x14ac:dyDescent="0.2">
      <c r="A1" t="s">
        <v>5</v>
      </c>
      <c r="B1" t="s">
        <v>92</v>
      </c>
    </row>
    <row r="2" spans="1:2" x14ac:dyDescent="0.2">
      <c r="A2" t="s">
        <v>46</v>
      </c>
      <c r="B2" t="s">
        <v>93</v>
      </c>
    </row>
    <row r="3" spans="1:2" x14ac:dyDescent="0.2">
      <c r="A3" t="s">
        <v>48</v>
      </c>
      <c r="B3" t="s">
        <v>94</v>
      </c>
    </row>
    <row r="4" spans="1:2" x14ac:dyDescent="0.2">
      <c r="A4" t="s">
        <v>49</v>
      </c>
      <c r="B4" t="s">
        <v>95</v>
      </c>
    </row>
    <row r="5" spans="1:2" x14ac:dyDescent="0.2">
      <c r="A5" t="s">
        <v>50</v>
      </c>
      <c r="B5" t="s">
        <v>96</v>
      </c>
    </row>
    <row r="6" spans="1:2" x14ac:dyDescent="0.2">
      <c r="A6" t="s">
        <v>51</v>
      </c>
      <c r="B6" t="s">
        <v>97</v>
      </c>
    </row>
    <row r="7" spans="1:2" x14ac:dyDescent="0.2">
      <c r="A7" t="s">
        <v>52</v>
      </c>
      <c r="B7" t="s">
        <v>98</v>
      </c>
    </row>
    <row r="8" spans="1:2" x14ac:dyDescent="0.2">
      <c r="A8" t="s">
        <v>68</v>
      </c>
      <c r="B8" t="s">
        <v>19</v>
      </c>
    </row>
    <row r="9" spans="1:2" x14ac:dyDescent="0.2">
      <c r="A9" t="s">
        <v>40</v>
      </c>
      <c r="B9" t="s">
        <v>98</v>
      </c>
    </row>
    <row r="10" spans="1:2" x14ac:dyDescent="0.2">
      <c r="A10" t="s">
        <v>39</v>
      </c>
      <c r="B10" t="s">
        <v>98</v>
      </c>
    </row>
    <row r="11" spans="1:2" x14ac:dyDescent="0.2">
      <c r="A11" t="s">
        <v>23</v>
      </c>
      <c r="B11" t="s">
        <v>96</v>
      </c>
    </row>
    <row r="12" spans="1:2" x14ac:dyDescent="0.2">
      <c r="A12" t="s">
        <v>36</v>
      </c>
      <c r="B12" t="s">
        <v>98</v>
      </c>
    </row>
    <row r="13" spans="1:2" x14ac:dyDescent="0.2">
      <c r="A13" t="s">
        <v>35</v>
      </c>
      <c r="B13" t="s">
        <v>99</v>
      </c>
    </row>
    <row r="14" spans="1:2" x14ac:dyDescent="0.2">
      <c r="A14" t="s">
        <v>34</v>
      </c>
      <c r="B14" t="s">
        <v>98</v>
      </c>
    </row>
    <row r="15" spans="1:2" x14ac:dyDescent="0.2">
      <c r="A15" t="s">
        <v>28</v>
      </c>
      <c r="B15" t="s">
        <v>94</v>
      </c>
    </row>
    <row r="16" spans="1:2" x14ac:dyDescent="0.2">
      <c r="A16" t="s">
        <v>33</v>
      </c>
      <c r="B16" t="s">
        <v>94</v>
      </c>
    </row>
    <row r="17" spans="1:2" x14ac:dyDescent="0.2">
      <c r="A17" t="s">
        <v>30</v>
      </c>
      <c r="B17" t="s">
        <v>98</v>
      </c>
    </row>
    <row r="18" spans="1:2" x14ac:dyDescent="0.2">
      <c r="A18" t="s">
        <v>29</v>
      </c>
      <c r="B18" t="s">
        <v>21</v>
      </c>
    </row>
    <row r="19" spans="1:2" x14ac:dyDescent="0.2">
      <c r="A19" t="s">
        <v>27</v>
      </c>
      <c r="B19" t="s">
        <v>97</v>
      </c>
    </row>
    <row r="20" spans="1:2" x14ac:dyDescent="0.2">
      <c r="A20" t="s">
        <v>26</v>
      </c>
      <c r="B20" t="s">
        <v>93</v>
      </c>
    </row>
    <row r="21" spans="1:2" x14ac:dyDescent="0.2">
      <c r="A21" t="s">
        <v>25</v>
      </c>
      <c r="B21" t="s">
        <v>100</v>
      </c>
    </row>
    <row r="22" spans="1:2" x14ac:dyDescent="0.2">
      <c r="A22" t="s">
        <v>24</v>
      </c>
      <c r="B22" t="s">
        <v>19</v>
      </c>
    </row>
    <row r="23" spans="1:2" x14ac:dyDescent="0.2">
      <c r="A23" t="s">
        <v>20</v>
      </c>
      <c r="B23" t="s">
        <v>21</v>
      </c>
    </row>
    <row r="24" spans="1:2" x14ac:dyDescent="0.2">
      <c r="A24" t="s">
        <v>18</v>
      </c>
      <c r="B24" t="s">
        <v>100</v>
      </c>
    </row>
    <row r="25" spans="1:2" x14ac:dyDescent="0.2">
      <c r="A25" t="s">
        <v>17</v>
      </c>
      <c r="B25" t="s">
        <v>94</v>
      </c>
    </row>
    <row r="26" spans="1:2" x14ac:dyDescent="0.2">
      <c r="A26" t="s">
        <v>15</v>
      </c>
      <c r="B26" t="s">
        <v>99</v>
      </c>
    </row>
    <row r="27" spans="1:2" x14ac:dyDescent="0.2">
      <c r="A27" t="s">
        <v>14</v>
      </c>
      <c r="B27" t="s">
        <v>98</v>
      </c>
    </row>
    <row r="28" spans="1:2" x14ac:dyDescent="0.2">
      <c r="A28" t="s">
        <v>12</v>
      </c>
      <c r="B28" t="s">
        <v>94</v>
      </c>
    </row>
    <row r="29" spans="1:2" x14ac:dyDescent="0.2">
      <c r="A29" t="s">
        <v>9</v>
      </c>
      <c r="B29" t="s">
        <v>98</v>
      </c>
    </row>
    <row r="30" spans="1:2" x14ac:dyDescent="0.2">
      <c r="A30" t="s">
        <v>54</v>
      </c>
      <c r="B30" t="s">
        <v>99</v>
      </c>
    </row>
    <row r="31" spans="1:2" x14ac:dyDescent="0.2">
      <c r="A31" t="s">
        <v>55</v>
      </c>
      <c r="B31" t="s">
        <v>98</v>
      </c>
    </row>
    <row r="32" spans="1:2" x14ac:dyDescent="0.2">
      <c r="A32" t="s">
        <v>57</v>
      </c>
      <c r="B32" t="s">
        <v>98</v>
      </c>
    </row>
    <row r="33" spans="1:2" x14ac:dyDescent="0.2">
      <c r="A33" t="s">
        <v>58</v>
      </c>
      <c r="B33" t="s">
        <v>95</v>
      </c>
    </row>
    <row r="34" spans="1:2" x14ac:dyDescent="0.2">
      <c r="A34" t="s">
        <v>59</v>
      </c>
      <c r="B34" t="s">
        <v>98</v>
      </c>
    </row>
    <row r="35" spans="1:2" x14ac:dyDescent="0.2">
      <c r="A35" t="s">
        <v>60</v>
      </c>
      <c r="B35" t="s">
        <v>98</v>
      </c>
    </row>
    <row r="36" spans="1:2" x14ac:dyDescent="0.2">
      <c r="A36" t="s">
        <v>61</v>
      </c>
      <c r="B36" t="s">
        <v>93</v>
      </c>
    </row>
    <row r="37" spans="1:2" x14ac:dyDescent="0.2">
      <c r="A37" t="s">
        <v>62</v>
      </c>
      <c r="B37" t="s">
        <v>95</v>
      </c>
    </row>
    <row r="38" spans="1:2" x14ac:dyDescent="0.2">
      <c r="A38" t="s">
        <v>63</v>
      </c>
      <c r="B38" t="s">
        <v>98</v>
      </c>
    </row>
    <row r="39" spans="1:2" x14ac:dyDescent="0.2">
      <c r="A39" t="s">
        <v>64</v>
      </c>
      <c r="B39" t="s">
        <v>95</v>
      </c>
    </row>
    <row r="40" spans="1:2" x14ac:dyDescent="0.2">
      <c r="A40" t="s">
        <v>65</v>
      </c>
      <c r="B40" t="s">
        <v>95</v>
      </c>
    </row>
    <row r="41" spans="1:2" x14ac:dyDescent="0.2">
      <c r="A41" t="s">
        <v>66</v>
      </c>
      <c r="B41" t="s">
        <v>98</v>
      </c>
    </row>
    <row r="42" spans="1:2" x14ac:dyDescent="0.2">
      <c r="A42" t="s">
        <v>67</v>
      </c>
      <c r="B42" t="s">
        <v>95</v>
      </c>
    </row>
    <row r="43" spans="1:2" x14ac:dyDescent="0.2">
      <c r="A43" t="s">
        <v>68</v>
      </c>
      <c r="B43" t="s">
        <v>19</v>
      </c>
    </row>
    <row r="44" spans="1:2" x14ac:dyDescent="0.2">
      <c r="A44" t="s">
        <v>69</v>
      </c>
      <c r="B44" t="s">
        <v>100</v>
      </c>
    </row>
    <row r="45" spans="1:2" x14ac:dyDescent="0.2">
      <c r="A45" t="s">
        <v>70</v>
      </c>
      <c r="B45" t="s">
        <v>94</v>
      </c>
    </row>
    <row r="46" spans="1:2" x14ac:dyDescent="0.2">
      <c r="A46" t="s">
        <v>71</v>
      </c>
      <c r="B46" t="s">
        <v>98</v>
      </c>
    </row>
    <row r="47" spans="1:2" x14ac:dyDescent="0.2">
      <c r="A47" t="s">
        <v>72</v>
      </c>
      <c r="B47" t="s">
        <v>101</v>
      </c>
    </row>
    <row r="48" spans="1:2" x14ac:dyDescent="0.2">
      <c r="A48" t="s">
        <v>73</v>
      </c>
      <c r="B48" t="s">
        <v>102</v>
      </c>
    </row>
    <row r="49" spans="1:2" x14ac:dyDescent="0.2">
      <c r="A49" t="s">
        <v>74</v>
      </c>
      <c r="B49" s="2" t="s">
        <v>102</v>
      </c>
    </row>
    <row r="50" spans="1:2" x14ac:dyDescent="0.2">
      <c r="A50" t="s">
        <v>75</v>
      </c>
      <c r="B50" t="s">
        <v>98</v>
      </c>
    </row>
    <row r="51" spans="1:2" x14ac:dyDescent="0.2">
      <c r="A51" t="s">
        <v>78</v>
      </c>
      <c r="B51" t="s">
        <v>96</v>
      </c>
    </row>
    <row r="52" spans="1:2" x14ac:dyDescent="0.2">
      <c r="A52" t="s">
        <v>79</v>
      </c>
      <c r="B52" t="s">
        <v>19</v>
      </c>
    </row>
    <row r="53" spans="1:2" x14ac:dyDescent="0.2">
      <c r="A53" t="s">
        <v>80</v>
      </c>
      <c r="B53" t="s">
        <v>98</v>
      </c>
    </row>
    <row r="54" spans="1:2" x14ac:dyDescent="0.2">
      <c r="A54" t="s">
        <v>81</v>
      </c>
      <c r="B54" t="s">
        <v>21</v>
      </c>
    </row>
    <row r="55" spans="1:2" x14ac:dyDescent="0.2">
      <c r="A55" t="s">
        <v>82</v>
      </c>
      <c r="B55" t="s">
        <v>98</v>
      </c>
    </row>
    <row r="56" spans="1:2" x14ac:dyDescent="0.2">
      <c r="A56" t="s">
        <v>83</v>
      </c>
      <c r="B56" t="s">
        <v>98</v>
      </c>
    </row>
    <row r="57" spans="1:2" x14ac:dyDescent="0.2">
      <c r="A57" t="s">
        <v>84</v>
      </c>
      <c r="B57" t="s">
        <v>98</v>
      </c>
    </row>
    <row r="58" spans="1:2" x14ac:dyDescent="0.2">
      <c r="A58" t="s">
        <v>85</v>
      </c>
      <c r="B58" t="s">
        <v>94</v>
      </c>
    </row>
    <row r="59" spans="1:2" x14ac:dyDescent="0.2">
      <c r="A59" t="s">
        <v>86</v>
      </c>
      <c r="B59" t="s">
        <v>19</v>
      </c>
    </row>
    <row r="60" spans="1:2" x14ac:dyDescent="0.2">
      <c r="A60" t="s">
        <v>87</v>
      </c>
      <c r="B60" t="s">
        <v>96</v>
      </c>
    </row>
    <row r="61" spans="1:2" x14ac:dyDescent="0.2">
      <c r="A61" t="s">
        <v>88</v>
      </c>
      <c r="B61" t="s">
        <v>102</v>
      </c>
    </row>
    <row r="62" spans="1:2" x14ac:dyDescent="0.2">
      <c r="A62" t="s">
        <v>89</v>
      </c>
      <c r="B62" t="s">
        <v>98</v>
      </c>
    </row>
    <row r="63" spans="1:2" x14ac:dyDescent="0.2">
      <c r="A63" t="s">
        <v>90</v>
      </c>
      <c r="B63" t="s">
        <v>98</v>
      </c>
    </row>
    <row r="64" spans="1:2" x14ac:dyDescent="0.2">
      <c r="A64" t="s">
        <v>91</v>
      </c>
      <c r="B64" t="s">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4B72-EE46-2248-A512-754F1BFE327A}">
  <dimension ref="A1:N78"/>
  <sheetViews>
    <sheetView zoomScale="90" workbookViewId="0">
      <selection activeCell="E8" sqref="E8"/>
    </sheetView>
  </sheetViews>
  <sheetFormatPr baseColWidth="10" defaultRowHeight="16" x14ac:dyDescent="0.2"/>
  <cols>
    <col min="1" max="1" width="12.83203125" bestFit="1" customWidth="1"/>
    <col min="2" max="2" width="34.6640625" bestFit="1" customWidth="1"/>
    <col min="3" max="3" width="15.33203125" bestFit="1" customWidth="1"/>
    <col min="4" max="4" width="16.83203125" bestFit="1" customWidth="1"/>
    <col min="5" max="5" width="14.1640625" bestFit="1" customWidth="1"/>
    <col min="6" max="6" width="12.33203125" bestFit="1" customWidth="1"/>
    <col min="7" max="7" width="12.83203125" bestFit="1" customWidth="1"/>
    <col min="8" max="8" width="16.33203125" bestFit="1" customWidth="1"/>
    <col min="9" max="9" width="15.33203125" bestFit="1" customWidth="1"/>
    <col min="10" max="10" width="19.6640625" bestFit="1" customWidth="1"/>
    <col min="11" max="11" width="16" bestFit="1" customWidth="1"/>
    <col min="12" max="12" width="12.6640625" bestFit="1" customWidth="1"/>
    <col min="13" max="13" width="12.83203125" bestFit="1" customWidth="1"/>
    <col min="14" max="14" width="23" bestFit="1" customWidth="1"/>
  </cols>
  <sheetData>
    <row r="1" spans="1:14" x14ac:dyDescent="0.2">
      <c r="A1" t="s">
        <v>0</v>
      </c>
      <c r="B1" t="s">
        <v>1</v>
      </c>
      <c r="C1" t="s">
        <v>41</v>
      </c>
      <c r="D1" t="s">
        <v>42</v>
      </c>
      <c r="E1" t="s">
        <v>43</v>
      </c>
      <c r="F1" t="s">
        <v>2</v>
      </c>
      <c r="G1" t="s">
        <v>3</v>
      </c>
      <c r="H1" t="s">
        <v>4</v>
      </c>
      <c r="I1" t="s">
        <v>44</v>
      </c>
      <c r="J1" t="s">
        <v>5</v>
      </c>
      <c r="K1" t="s">
        <v>6</v>
      </c>
      <c r="L1" t="s">
        <v>7</v>
      </c>
      <c r="M1" t="s">
        <v>45</v>
      </c>
      <c r="N1" t="s">
        <v>92</v>
      </c>
    </row>
    <row r="2" spans="1:14" x14ac:dyDescent="0.2">
      <c r="A2" s="1">
        <v>44079</v>
      </c>
      <c r="B2" t="s">
        <v>32</v>
      </c>
      <c r="C2">
        <v>8.5</v>
      </c>
      <c r="D2">
        <v>0.7</v>
      </c>
      <c r="E2">
        <v>9.1999999999999993</v>
      </c>
      <c r="F2">
        <v>850597616</v>
      </c>
      <c r="G2" s="1">
        <v>44079</v>
      </c>
      <c r="H2" s="1">
        <v>44081</v>
      </c>
      <c r="I2">
        <v>2</v>
      </c>
      <c r="J2" t="s">
        <v>46</v>
      </c>
      <c r="K2" t="s">
        <v>13</v>
      </c>
      <c r="L2">
        <v>1763939987</v>
      </c>
      <c r="M2" t="s">
        <v>47</v>
      </c>
      <c r="N2" t="s">
        <v>93</v>
      </c>
    </row>
    <row r="3" spans="1:14" x14ac:dyDescent="0.2">
      <c r="A3" s="1">
        <v>44110</v>
      </c>
      <c r="B3" t="s">
        <v>8</v>
      </c>
      <c r="C3">
        <v>10</v>
      </c>
      <c r="D3">
        <v>0.7</v>
      </c>
      <c r="E3">
        <v>10.7</v>
      </c>
      <c r="F3">
        <v>850621096</v>
      </c>
      <c r="G3" s="1">
        <v>44110</v>
      </c>
      <c r="H3" s="1">
        <v>44112</v>
      </c>
      <c r="I3">
        <v>2</v>
      </c>
      <c r="J3" t="s">
        <v>48</v>
      </c>
      <c r="K3" t="s">
        <v>13</v>
      </c>
      <c r="L3">
        <v>1782664446</v>
      </c>
      <c r="M3" t="s">
        <v>47</v>
      </c>
      <c r="N3" t="s">
        <v>94</v>
      </c>
    </row>
    <row r="4" spans="1:14" x14ac:dyDescent="0.2">
      <c r="A4" s="1">
        <v>44149</v>
      </c>
      <c r="B4" t="s">
        <v>8</v>
      </c>
      <c r="C4">
        <v>10</v>
      </c>
      <c r="D4">
        <v>0.7</v>
      </c>
      <c r="E4">
        <v>10.7</v>
      </c>
      <c r="F4">
        <v>850621096</v>
      </c>
      <c r="G4" s="1">
        <v>44149</v>
      </c>
      <c r="H4" s="1">
        <v>44153</v>
      </c>
      <c r="I4">
        <v>4</v>
      </c>
      <c r="J4" t="s">
        <v>49</v>
      </c>
      <c r="K4" t="s">
        <v>13</v>
      </c>
      <c r="L4">
        <v>1823210372</v>
      </c>
      <c r="M4" t="s">
        <v>47</v>
      </c>
      <c r="N4" t="s">
        <v>95</v>
      </c>
    </row>
    <row r="5" spans="1:14" x14ac:dyDescent="0.2">
      <c r="A5" s="1">
        <v>44158</v>
      </c>
      <c r="B5" t="s">
        <v>8</v>
      </c>
      <c r="C5">
        <v>10</v>
      </c>
      <c r="D5">
        <v>0.7</v>
      </c>
      <c r="E5">
        <v>10.7</v>
      </c>
      <c r="F5">
        <v>850621096</v>
      </c>
      <c r="G5" s="1">
        <v>44158</v>
      </c>
      <c r="H5" s="1">
        <v>44162</v>
      </c>
      <c r="I5">
        <v>4</v>
      </c>
      <c r="J5" t="s">
        <v>50</v>
      </c>
      <c r="K5" t="s">
        <v>13</v>
      </c>
      <c r="L5">
        <v>1848574119</v>
      </c>
      <c r="M5" t="s">
        <v>47</v>
      </c>
      <c r="N5" t="s">
        <v>96</v>
      </c>
    </row>
    <row r="6" spans="1:14" x14ac:dyDescent="0.2">
      <c r="A6" s="1">
        <v>44160</v>
      </c>
      <c r="B6" t="s">
        <v>8</v>
      </c>
      <c r="C6">
        <v>10</v>
      </c>
      <c r="D6">
        <v>0.7</v>
      </c>
      <c r="E6">
        <v>10.7</v>
      </c>
      <c r="F6">
        <v>850621096</v>
      </c>
      <c r="G6" s="1">
        <v>44160</v>
      </c>
      <c r="H6" s="1">
        <v>44166</v>
      </c>
      <c r="I6">
        <v>6</v>
      </c>
      <c r="J6" t="s">
        <v>49</v>
      </c>
      <c r="K6" t="s">
        <v>13</v>
      </c>
      <c r="L6">
        <v>1851988741</v>
      </c>
      <c r="M6" t="s">
        <v>47</v>
      </c>
      <c r="N6" t="s">
        <v>95</v>
      </c>
    </row>
    <row r="7" spans="1:14" x14ac:dyDescent="0.2">
      <c r="A7" s="1">
        <v>44189</v>
      </c>
      <c r="B7" t="s">
        <v>32</v>
      </c>
      <c r="C7">
        <v>8.5</v>
      </c>
      <c r="D7">
        <v>0.7</v>
      </c>
      <c r="E7">
        <v>9.1999999999999993</v>
      </c>
      <c r="F7">
        <v>850597616</v>
      </c>
      <c r="G7" s="1">
        <v>44189</v>
      </c>
      <c r="H7" s="1">
        <v>44194</v>
      </c>
      <c r="I7">
        <v>5</v>
      </c>
      <c r="J7" t="s">
        <v>51</v>
      </c>
      <c r="K7" t="s">
        <v>13</v>
      </c>
      <c r="L7">
        <v>1893909370</v>
      </c>
      <c r="M7" t="s">
        <v>47</v>
      </c>
      <c r="N7" t="s">
        <v>97</v>
      </c>
    </row>
    <row r="8" spans="1:14" x14ac:dyDescent="0.2">
      <c r="A8" s="1">
        <v>44191</v>
      </c>
      <c r="B8" t="s">
        <v>22</v>
      </c>
      <c r="C8">
        <v>9.5</v>
      </c>
      <c r="D8">
        <v>3.8</v>
      </c>
      <c r="E8">
        <v>13.3</v>
      </c>
      <c r="F8">
        <v>863807800</v>
      </c>
      <c r="G8" s="1">
        <v>44191</v>
      </c>
      <c r="H8" s="1">
        <v>44198</v>
      </c>
      <c r="I8">
        <v>7</v>
      </c>
      <c r="J8" t="s">
        <v>52</v>
      </c>
      <c r="K8" t="s">
        <v>10</v>
      </c>
      <c r="L8">
        <v>1904000725</v>
      </c>
      <c r="M8" t="s">
        <v>47</v>
      </c>
      <c r="N8" t="s">
        <v>98</v>
      </c>
    </row>
    <row r="9" spans="1:14" x14ac:dyDescent="0.2">
      <c r="A9" s="1">
        <v>44202</v>
      </c>
      <c r="B9" t="s">
        <v>32</v>
      </c>
      <c r="C9">
        <v>8.5</v>
      </c>
      <c r="D9">
        <v>0.7</v>
      </c>
      <c r="E9">
        <v>9.1999999999999993</v>
      </c>
      <c r="F9">
        <v>850597616</v>
      </c>
      <c r="G9" s="1">
        <v>44202</v>
      </c>
      <c r="H9" s="1">
        <v>44206</v>
      </c>
      <c r="I9">
        <v>4</v>
      </c>
      <c r="J9" t="s">
        <v>19</v>
      </c>
      <c r="K9" t="s">
        <v>13</v>
      </c>
      <c r="L9">
        <v>1914919779</v>
      </c>
      <c r="M9" t="s">
        <v>47</v>
      </c>
      <c r="N9" t="s">
        <v>19</v>
      </c>
    </row>
    <row r="10" spans="1:14" x14ac:dyDescent="0.2">
      <c r="A10" s="1">
        <v>44205</v>
      </c>
      <c r="B10" t="s">
        <v>8</v>
      </c>
      <c r="C10">
        <v>10</v>
      </c>
      <c r="D10">
        <v>3.8</v>
      </c>
      <c r="E10">
        <v>13.8</v>
      </c>
      <c r="F10">
        <v>850621096</v>
      </c>
      <c r="G10" s="1">
        <v>44205</v>
      </c>
      <c r="H10" s="1">
        <v>44211</v>
      </c>
      <c r="I10">
        <v>6</v>
      </c>
      <c r="J10" t="s">
        <v>40</v>
      </c>
      <c r="K10" t="s">
        <v>10</v>
      </c>
      <c r="L10">
        <v>1917959533</v>
      </c>
      <c r="M10" t="s">
        <v>47</v>
      </c>
      <c r="N10" t="s">
        <v>98</v>
      </c>
    </row>
    <row r="11" spans="1:14" x14ac:dyDescent="0.2">
      <c r="A11" s="1">
        <v>44216</v>
      </c>
      <c r="B11" t="s">
        <v>32</v>
      </c>
      <c r="C11">
        <v>8.5</v>
      </c>
      <c r="D11">
        <v>4</v>
      </c>
      <c r="E11">
        <v>12.5</v>
      </c>
      <c r="F11">
        <v>850597616</v>
      </c>
      <c r="G11" s="1">
        <v>44216</v>
      </c>
      <c r="H11" s="1">
        <v>44222</v>
      </c>
      <c r="I11">
        <v>6</v>
      </c>
      <c r="J11" t="s">
        <v>39</v>
      </c>
      <c r="K11" t="s">
        <v>10</v>
      </c>
      <c r="L11">
        <v>1922159654</v>
      </c>
      <c r="M11" t="s">
        <v>47</v>
      </c>
      <c r="N11" t="s">
        <v>98</v>
      </c>
    </row>
    <row r="12" spans="1:14" x14ac:dyDescent="0.2">
      <c r="A12" s="1">
        <v>44224</v>
      </c>
      <c r="B12" t="s">
        <v>38</v>
      </c>
      <c r="C12">
        <v>8</v>
      </c>
      <c r="D12">
        <v>0.7</v>
      </c>
      <c r="E12">
        <v>8.6999999999999993</v>
      </c>
      <c r="F12">
        <v>864527775</v>
      </c>
      <c r="G12" s="1">
        <v>44224</v>
      </c>
      <c r="H12" s="1">
        <v>44228</v>
      </c>
      <c r="I12">
        <v>4</v>
      </c>
      <c r="J12" t="s">
        <v>23</v>
      </c>
      <c r="K12" t="s">
        <v>13</v>
      </c>
      <c r="L12">
        <v>1931929150</v>
      </c>
      <c r="M12" t="s">
        <v>47</v>
      </c>
      <c r="N12" t="s">
        <v>96</v>
      </c>
    </row>
    <row r="13" spans="1:14" x14ac:dyDescent="0.2">
      <c r="A13" s="1">
        <v>44240</v>
      </c>
      <c r="B13" t="s">
        <v>8</v>
      </c>
      <c r="C13">
        <v>10</v>
      </c>
      <c r="D13">
        <v>3.05</v>
      </c>
      <c r="E13">
        <v>13.05</v>
      </c>
      <c r="F13">
        <v>850621096</v>
      </c>
      <c r="G13" s="1">
        <v>44240</v>
      </c>
      <c r="H13" s="1">
        <v>44246</v>
      </c>
      <c r="I13">
        <v>6</v>
      </c>
      <c r="J13" t="s">
        <v>36</v>
      </c>
      <c r="K13" t="s">
        <v>37</v>
      </c>
      <c r="L13">
        <v>1951197474</v>
      </c>
      <c r="M13" t="s">
        <v>47</v>
      </c>
      <c r="N13" t="s">
        <v>98</v>
      </c>
    </row>
    <row r="14" spans="1:14" x14ac:dyDescent="0.2">
      <c r="A14" s="1">
        <v>44248</v>
      </c>
      <c r="B14" t="s">
        <v>8</v>
      </c>
      <c r="C14">
        <v>10</v>
      </c>
      <c r="D14">
        <v>0.7</v>
      </c>
      <c r="E14">
        <v>10.7</v>
      </c>
      <c r="F14">
        <v>850621096</v>
      </c>
      <c r="G14" s="1">
        <v>44248</v>
      </c>
      <c r="H14" s="1">
        <v>44252</v>
      </c>
      <c r="I14">
        <v>4</v>
      </c>
      <c r="J14" t="s">
        <v>35</v>
      </c>
      <c r="K14" t="s">
        <v>13</v>
      </c>
      <c r="L14">
        <v>1966603945</v>
      </c>
      <c r="M14" t="s">
        <v>47</v>
      </c>
      <c r="N14" t="s">
        <v>99</v>
      </c>
    </row>
    <row r="15" spans="1:14" x14ac:dyDescent="0.2">
      <c r="A15" s="1">
        <v>44257</v>
      </c>
      <c r="B15" t="s">
        <v>22</v>
      </c>
      <c r="C15">
        <v>9.5</v>
      </c>
      <c r="D15">
        <v>4</v>
      </c>
      <c r="E15">
        <v>13.5</v>
      </c>
      <c r="F15">
        <v>863807800</v>
      </c>
      <c r="G15" s="1">
        <v>44257</v>
      </c>
      <c r="H15" s="1">
        <v>44263</v>
      </c>
      <c r="I15">
        <v>6</v>
      </c>
      <c r="J15" t="s">
        <v>34</v>
      </c>
      <c r="K15" t="s">
        <v>10</v>
      </c>
      <c r="L15">
        <v>1969570184</v>
      </c>
      <c r="M15" t="s">
        <v>47</v>
      </c>
      <c r="N15" t="s">
        <v>98</v>
      </c>
    </row>
    <row r="16" spans="1:14" x14ac:dyDescent="0.2">
      <c r="A16" s="1">
        <v>44257</v>
      </c>
      <c r="B16" t="s">
        <v>32</v>
      </c>
      <c r="C16">
        <v>9</v>
      </c>
      <c r="D16">
        <v>1.29</v>
      </c>
      <c r="E16">
        <v>10.29</v>
      </c>
      <c r="F16">
        <v>850597616</v>
      </c>
      <c r="G16" s="1">
        <v>44257</v>
      </c>
      <c r="H16" s="1">
        <v>44263</v>
      </c>
      <c r="I16">
        <v>6</v>
      </c>
      <c r="J16" t="s">
        <v>23</v>
      </c>
      <c r="K16" t="s">
        <v>13</v>
      </c>
      <c r="L16">
        <v>1976445777</v>
      </c>
      <c r="M16" t="s">
        <v>53</v>
      </c>
      <c r="N16" t="s">
        <v>96</v>
      </c>
    </row>
    <row r="17" spans="1:14" x14ac:dyDescent="0.2">
      <c r="A17" s="1">
        <v>44263</v>
      </c>
      <c r="B17" t="s">
        <v>8</v>
      </c>
      <c r="C17">
        <v>10</v>
      </c>
      <c r="D17">
        <v>1.29</v>
      </c>
      <c r="E17">
        <v>11.29</v>
      </c>
      <c r="F17">
        <v>850621096</v>
      </c>
      <c r="G17" s="1">
        <v>44263</v>
      </c>
      <c r="H17" s="1">
        <v>44270</v>
      </c>
      <c r="I17">
        <v>7</v>
      </c>
      <c r="J17" t="s">
        <v>28</v>
      </c>
      <c r="K17" t="s">
        <v>13</v>
      </c>
      <c r="L17">
        <v>1982758603</v>
      </c>
      <c r="M17" t="s">
        <v>47</v>
      </c>
      <c r="N17" t="s">
        <v>94</v>
      </c>
    </row>
    <row r="18" spans="1:14" x14ac:dyDescent="0.2">
      <c r="A18" s="1">
        <v>44271</v>
      </c>
      <c r="B18" t="s">
        <v>32</v>
      </c>
      <c r="C18">
        <v>8.5</v>
      </c>
      <c r="D18">
        <v>1.29</v>
      </c>
      <c r="E18">
        <v>9.7899999999999991</v>
      </c>
      <c r="F18">
        <v>850597616</v>
      </c>
      <c r="G18" s="1">
        <v>44271</v>
      </c>
      <c r="H18" s="1">
        <v>44274</v>
      </c>
      <c r="I18">
        <v>3</v>
      </c>
      <c r="J18" t="s">
        <v>33</v>
      </c>
      <c r="K18" t="s">
        <v>13</v>
      </c>
      <c r="L18">
        <v>1985753984</v>
      </c>
      <c r="M18" t="s">
        <v>47</v>
      </c>
      <c r="N18" t="s">
        <v>94</v>
      </c>
    </row>
    <row r="19" spans="1:14" x14ac:dyDescent="0.2">
      <c r="A19" s="1">
        <v>44277</v>
      </c>
      <c r="B19" t="s">
        <v>8</v>
      </c>
      <c r="C19">
        <v>10.5</v>
      </c>
      <c r="D19">
        <v>3.05</v>
      </c>
      <c r="E19">
        <v>13.55</v>
      </c>
      <c r="F19">
        <v>850621096</v>
      </c>
      <c r="G19" s="1">
        <v>44277</v>
      </c>
      <c r="H19" s="1">
        <v>44282</v>
      </c>
      <c r="I19">
        <v>5</v>
      </c>
      <c r="J19" t="s">
        <v>30</v>
      </c>
      <c r="K19" t="s">
        <v>31</v>
      </c>
      <c r="L19">
        <v>1992694066</v>
      </c>
      <c r="M19" t="s">
        <v>47</v>
      </c>
      <c r="N19" t="s">
        <v>98</v>
      </c>
    </row>
    <row r="20" spans="1:14" x14ac:dyDescent="0.2">
      <c r="A20" s="1">
        <v>44314</v>
      </c>
      <c r="B20" t="s">
        <v>8</v>
      </c>
      <c r="C20">
        <v>10.5</v>
      </c>
      <c r="D20">
        <v>1.29</v>
      </c>
      <c r="E20">
        <v>11.79</v>
      </c>
      <c r="F20">
        <v>850621096</v>
      </c>
      <c r="G20" s="1">
        <v>44314</v>
      </c>
      <c r="H20" s="1">
        <v>44320</v>
      </c>
      <c r="I20">
        <v>6</v>
      </c>
      <c r="J20" t="s">
        <v>29</v>
      </c>
      <c r="K20" t="s">
        <v>13</v>
      </c>
      <c r="L20">
        <v>2034112804</v>
      </c>
      <c r="M20" t="s">
        <v>47</v>
      </c>
      <c r="N20" t="s">
        <v>21</v>
      </c>
    </row>
    <row r="21" spans="1:14" x14ac:dyDescent="0.2">
      <c r="A21" s="1">
        <v>44329</v>
      </c>
      <c r="B21" t="s">
        <v>8</v>
      </c>
      <c r="C21">
        <v>10.5</v>
      </c>
      <c r="D21">
        <v>1.29</v>
      </c>
      <c r="E21">
        <v>11.79</v>
      </c>
      <c r="F21">
        <v>850621096</v>
      </c>
      <c r="G21" s="1">
        <v>44329</v>
      </c>
      <c r="H21" s="1">
        <v>44337</v>
      </c>
      <c r="I21">
        <v>8</v>
      </c>
      <c r="J21" t="s">
        <v>28</v>
      </c>
      <c r="K21" t="s">
        <v>13</v>
      </c>
      <c r="L21">
        <v>2051948428</v>
      </c>
      <c r="M21" t="s">
        <v>47</v>
      </c>
      <c r="N21" t="s">
        <v>94</v>
      </c>
    </row>
    <row r="22" spans="1:14" x14ac:dyDescent="0.2">
      <c r="A22" s="1">
        <v>44344</v>
      </c>
      <c r="B22" t="s">
        <v>22</v>
      </c>
      <c r="C22">
        <v>11</v>
      </c>
      <c r="D22">
        <v>1.29</v>
      </c>
      <c r="E22">
        <v>12.29</v>
      </c>
      <c r="F22">
        <v>863807800</v>
      </c>
      <c r="G22" s="1">
        <v>44344</v>
      </c>
      <c r="H22" s="1">
        <v>44350</v>
      </c>
      <c r="I22">
        <v>6</v>
      </c>
      <c r="J22" t="s">
        <v>27</v>
      </c>
      <c r="K22" t="s">
        <v>13</v>
      </c>
      <c r="L22">
        <v>2066375906</v>
      </c>
      <c r="M22" t="s">
        <v>47</v>
      </c>
      <c r="N22" t="s">
        <v>97</v>
      </c>
    </row>
    <row r="23" spans="1:14" x14ac:dyDescent="0.2">
      <c r="A23" s="1">
        <v>44348</v>
      </c>
      <c r="B23" t="s">
        <v>22</v>
      </c>
      <c r="C23">
        <v>11</v>
      </c>
      <c r="D23">
        <v>1.29</v>
      </c>
      <c r="E23">
        <v>12.29</v>
      </c>
      <c r="F23">
        <v>863807800</v>
      </c>
      <c r="G23" s="1">
        <v>44348</v>
      </c>
      <c r="H23" s="1">
        <v>44355</v>
      </c>
      <c r="I23">
        <v>7</v>
      </c>
      <c r="J23" t="s">
        <v>26</v>
      </c>
      <c r="K23" t="s">
        <v>13</v>
      </c>
      <c r="L23">
        <v>2076250437</v>
      </c>
      <c r="M23" t="s">
        <v>47</v>
      </c>
      <c r="N23" t="s">
        <v>93</v>
      </c>
    </row>
    <row r="24" spans="1:14" x14ac:dyDescent="0.2">
      <c r="A24" s="1">
        <v>44352</v>
      </c>
      <c r="B24" t="s">
        <v>22</v>
      </c>
      <c r="C24">
        <v>11</v>
      </c>
      <c r="D24">
        <v>1.29</v>
      </c>
      <c r="E24">
        <v>12.29</v>
      </c>
      <c r="F24">
        <v>863807800</v>
      </c>
      <c r="G24" s="1">
        <v>44352</v>
      </c>
      <c r="H24" s="1">
        <v>44357</v>
      </c>
      <c r="I24">
        <v>5</v>
      </c>
      <c r="J24" t="s">
        <v>25</v>
      </c>
      <c r="K24" t="s">
        <v>13</v>
      </c>
      <c r="L24">
        <v>2074864920</v>
      </c>
      <c r="M24" t="s">
        <v>47</v>
      </c>
      <c r="N24" t="s">
        <v>100</v>
      </c>
    </row>
    <row r="25" spans="1:14" x14ac:dyDescent="0.2">
      <c r="A25" s="1">
        <v>44353</v>
      </c>
      <c r="B25" t="s">
        <v>8</v>
      </c>
      <c r="C25">
        <v>10.5</v>
      </c>
      <c r="D25">
        <v>1.29</v>
      </c>
      <c r="E25">
        <v>11.79</v>
      </c>
      <c r="F25">
        <v>850621096</v>
      </c>
      <c r="G25" s="1">
        <v>44353</v>
      </c>
      <c r="H25" s="1">
        <v>44357</v>
      </c>
      <c r="I25">
        <v>4</v>
      </c>
      <c r="J25" t="s">
        <v>24</v>
      </c>
      <c r="K25" t="s">
        <v>13</v>
      </c>
      <c r="L25">
        <v>2076260404</v>
      </c>
      <c r="M25" t="s">
        <v>47</v>
      </c>
      <c r="N25" t="s">
        <v>19</v>
      </c>
    </row>
    <row r="26" spans="1:14" x14ac:dyDescent="0.2">
      <c r="A26" s="1">
        <v>44378</v>
      </c>
      <c r="B26" t="s">
        <v>16</v>
      </c>
      <c r="C26">
        <v>7.5</v>
      </c>
      <c r="D26">
        <v>1.29</v>
      </c>
      <c r="E26">
        <v>8.7899999999999991</v>
      </c>
      <c r="F26">
        <v>864534993</v>
      </c>
      <c r="G26" s="1">
        <v>44378</v>
      </c>
      <c r="H26" s="1">
        <v>44385</v>
      </c>
      <c r="I26">
        <v>7</v>
      </c>
      <c r="J26" t="s">
        <v>23</v>
      </c>
      <c r="K26" t="s">
        <v>13</v>
      </c>
      <c r="L26">
        <v>2100922812</v>
      </c>
      <c r="M26" t="s">
        <v>47</v>
      </c>
      <c r="N26" t="s">
        <v>96</v>
      </c>
    </row>
    <row r="27" spans="1:14" x14ac:dyDescent="0.2">
      <c r="A27" s="1">
        <v>44389</v>
      </c>
      <c r="B27" t="s">
        <v>8</v>
      </c>
      <c r="C27">
        <v>10.5</v>
      </c>
      <c r="D27">
        <v>1.29</v>
      </c>
      <c r="E27">
        <v>11.79</v>
      </c>
      <c r="F27">
        <v>850621096</v>
      </c>
      <c r="G27" s="1">
        <v>44389</v>
      </c>
      <c r="H27" s="1">
        <v>44395</v>
      </c>
      <c r="I27">
        <v>6</v>
      </c>
      <c r="J27" t="s">
        <v>19</v>
      </c>
      <c r="K27" t="s">
        <v>13</v>
      </c>
      <c r="L27">
        <v>2111772028</v>
      </c>
      <c r="M27" t="s">
        <v>47</v>
      </c>
      <c r="N27" t="s">
        <v>19</v>
      </c>
    </row>
    <row r="28" spans="1:14" x14ac:dyDescent="0.2">
      <c r="A28" s="1">
        <v>44391</v>
      </c>
      <c r="B28" t="s">
        <v>22</v>
      </c>
      <c r="C28">
        <v>11</v>
      </c>
      <c r="D28">
        <v>1.29</v>
      </c>
      <c r="E28">
        <v>12.29</v>
      </c>
      <c r="F28">
        <v>863807800</v>
      </c>
      <c r="G28" s="1">
        <v>44391</v>
      </c>
      <c r="H28" s="1">
        <v>44395</v>
      </c>
      <c r="I28">
        <v>4</v>
      </c>
      <c r="J28" t="s">
        <v>19</v>
      </c>
      <c r="K28" t="s">
        <v>13</v>
      </c>
      <c r="L28">
        <v>2115733271</v>
      </c>
      <c r="M28" t="s">
        <v>47</v>
      </c>
      <c r="N28" t="s">
        <v>19</v>
      </c>
    </row>
    <row r="29" spans="1:14" x14ac:dyDescent="0.2">
      <c r="A29" s="1">
        <v>44400</v>
      </c>
      <c r="B29" t="s">
        <v>8</v>
      </c>
      <c r="C29">
        <v>10.5</v>
      </c>
      <c r="D29">
        <v>1.29</v>
      </c>
      <c r="E29">
        <v>11.79</v>
      </c>
      <c r="F29">
        <v>850621096</v>
      </c>
      <c r="G29" s="1">
        <v>44400</v>
      </c>
      <c r="H29" s="1">
        <v>44407</v>
      </c>
      <c r="I29">
        <v>7</v>
      </c>
      <c r="J29" t="s">
        <v>20</v>
      </c>
      <c r="K29" t="s">
        <v>13</v>
      </c>
      <c r="L29">
        <v>2121514080</v>
      </c>
      <c r="M29" t="s">
        <v>47</v>
      </c>
      <c r="N29" t="s">
        <v>21</v>
      </c>
    </row>
    <row r="30" spans="1:14" x14ac:dyDescent="0.2">
      <c r="A30" s="1">
        <v>44403</v>
      </c>
      <c r="B30" t="s">
        <v>11</v>
      </c>
      <c r="C30">
        <v>8</v>
      </c>
      <c r="D30">
        <v>1.29</v>
      </c>
      <c r="E30">
        <v>9.2899999999999991</v>
      </c>
      <c r="F30">
        <v>948060667</v>
      </c>
      <c r="G30" s="1">
        <v>44403</v>
      </c>
      <c r="H30" s="1">
        <v>44409</v>
      </c>
      <c r="I30">
        <v>6</v>
      </c>
      <c r="J30" t="s">
        <v>19</v>
      </c>
      <c r="K30" t="s">
        <v>13</v>
      </c>
      <c r="L30">
        <v>2124625542</v>
      </c>
      <c r="M30" t="s">
        <v>47</v>
      </c>
      <c r="N30" t="s">
        <v>19</v>
      </c>
    </row>
    <row r="31" spans="1:14" x14ac:dyDescent="0.2">
      <c r="A31" s="1">
        <v>44446</v>
      </c>
      <c r="B31" t="s">
        <v>8</v>
      </c>
      <c r="C31">
        <v>10.5</v>
      </c>
      <c r="D31">
        <v>1.29</v>
      </c>
      <c r="E31">
        <v>11.79</v>
      </c>
      <c r="F31">
        <v>850621096</v>
      </c>
      <c r="G31" s="1">
        <v>44446</v>
      </c>
      <c r="H31" s="1">
        <v>44453</v>
      </c>
      <c r="I31">
        <v>7</v>
      </c>
      <c r="J31" t="s">
        <v>18</v>
      </c>
      <c r="K31" t="s">
        <v>13</v>
      </c>
      <c r="L31">
        <v>2170482524</v>
      </c>
      <c r="M31" t="s">
        <v>47</v>
      </c>
      <c r="N31" t="s">
        <v>100</v>
      </c>
    </row>
    <row r="32" spans="1:14" x14ac:dyDescent="0.2">
      <c r="A32" s="1">
        <v>44490</v>
      </c>
      <c r="B32" t="s">
        <v>16</v>
      </c>
      <c r="C32">
        <v>7.5</v>
      </c>
      <c r="D32">
        <v>1.29</v>
      </c>
      <c r="E32">
        <v>8.7899999999999991</v>
      </c>
      <c r="F32">
        <v>864534993</v>
      </c>
      <c r="G32" s="1">
        <v>44490</v>
      </c>
      <c r="H32" s="1">
        <v>44497</v>
      </c>
      <c r="I32">
        <v>7</v>
      </c>
      <c r="J32" t="s">
        <v>17</v>
      </c>
      <c r="K32" t="s">
        <v>13</v>
      </c>
      <c r="L32">
        <v>2219434546</v>
      </c>
      <c r="M32" t="s">
        <v>47</v>
      </c>
      <c r="N32" t="s">
        <v>94</v>
      </c>
    </row>
    <row r="33" spans="1:14" x14ac:dyDescent="0.2">
      <c r="A33" s="1">
        <v>44494</v>
      </c>
      <c r="B33" t="s">
        <v>8</v>
      </c>
      <c r="C33">
        <v>10.5</v>
      </c>
      <c r="D33">
        <v>1.29</v>
      </c>
      <c r="E33">
        <v>11.79</v>
      </c>
      <c r="F33">
        <v>850621096</v>
      </c>
      <c r="G33" s="1">
        <v>44494</v>
      </c>
      <c r="H33" s="1">
        <v>44499</v>
      </c>
      <c r="I33">
        <v>5</v>
      </c>
      <c r="J33" t="s">
        <v>15</v>
      </c>
      <c r="K33" t="s">
        <v>13</v>
      </c>
      <c r="L33">
        <v>2224403505</v>
      </c>
      <c r="M33" t="s">
        <v>47</v>
      </c>
      <c r="N33" t="s">
        <v>99</v>
      </c>
    </row>
    <row r="34" spans="1:14" x14ac:dyDescent="0.2">
      <c r="A34" s="1">
        <v>44505</v>
      </c>
      <c r="B34" t="s">
        <v>8</v>
      </c>
      <c r="C34">
        <v>10.5</v>
      </c>
      <c r="D34">
        <v>4</v>
      </c>
      <c r="E34">
        <v>14.5</v>
      </c>
      <c r="F34">
        <v>850621096</v>
      </c>
      <c r="G34" s="1">
        <v>44505</v>
      </c>
      <c r="H34" s="1">
        <v>44512</v>
      </c>
      <c r="I34">
        <v>7</v>
      </c>
      <c r="J34" t="s">
        <v>14</v>
      </c>
      <c r="K34" t="s">
        <v>10</v>
      </c>
      <c r="L34">
        <v>2237358300</v>
      </c>
      <c r="M34" t="s">
        <v>47</v>
      </c>
      <c r="N34" t="s">
        <v>98</v>
      </c>
    </row>
    <row r="35" spans="1:14" x14ac:dyDescent="0.2">
      <c r="A35" s="1">
        <v>44533</v>
      </c>
      <c r="B35" t="s">
        <v>11</v>
      </c>
      <c r="C35">
        <v>8</v>
      </c>
      <c r="D35">
        <v>1.29</v>
      </c>
      <c r="E35">
        <v>9.2899999999999991</v>
      </c>
      <c r="F35">
        <v>948060667</v>
      </c>
      <c r="G35" s="1">
        <v>44533</v>
      </c>
      <c r="H35" s="1">
        <v>44542</v>
      </c>
      <c r="I35">
        <v>9</v>
      </c>
      <c r="J35" t="s">
        <v>12</v>
      </c>
      <c r="K35" t="s">
        <v>13</v>
      </c>
      <c r="L35">
        <v>2284394773</v>
      </c>
      <c r="M35" t="s">
        <v>47</v>
      </c>
      <c r="N35" t="s">
        <v>94</v>
      </c>
    </row>
    <row r="36" spans="1:14" x14ac:dyDescent="0.2">
      <c r="A36" s="1">
        <v>44538</v>
      </c>
      <c r="B36" t="s">
        <v>8</v>
      </c>
      <c r="C36">
        <v>10.5</v>
      </c>
      <c r="D36">
        <v>4</v>
      </c>
      <c r="E36">
        <v>14.5</v>
      </c>
      <c r="F36">
        <v>850621096</v>
      </c>
      <c r="G36" s="1">
        <v>44538</v>
      </c>
      <c r="H36" s="1">
        <v>44546</v>
      </c>
      <c r="I36">
        <v>8</v>
      </c>
      <c r="J36" t="s">
        <v>9</v>
      </c>
      <c r="K36" t="s">
        <v>10</v>
      </c>
      <c r="L36">
        <v>2297947786</v>
      </c>
      <c r="M36" t="s">
        <v>47</v>
      </c>
      <c r="N36" t="s">
        <v>98</v>
      </c>
    </row>
    <row r="37" spans="1:14" x14ac:dyDescent="0.2">
      <c r="A37" s="1">
        <v>44566</v>
      </c>
      <c r="B37" t="s">
        <v>22</v>
      </c>
      <c r="C37">
        <v>11</v>
      </c>
      <c r="D37">
        <v>1.29</v>
      </c>
      <c r="E37">
        <v>12.29</v>
      </c>
      <c r="F37">
        <v>863807800</v>
      </c>
      <c r="G37" s="1">
        <v>44566</v>
      </c>
      <c r="H37" s="1">
        <v>44573</v>
      </c>
      <c r="I37">
        <v>7</v>
      </c>
      <c r="J37" t="s">
        <v>54</v>
      </c>
      <c r="K37" t="s">
        <v>13</v>
      </c>
      <c r="L37">
        <v>2334608902</v>
      </c>
      <c r="M37" t="s">
        <v>47</v>
      </c>
      <c r="N37" t="s">
        <v>99</v>
      </c>
    </row>
    <row r="38" spans="1:14" x14ac:dyDescent="0.2">
      <c r="A38" s="1">
        <v>44567</v>
      </c>
      <c r="B38" t="s">
        <v>32</v>
      </c>
      <c r="C38">
        <v>9.6999999999999993</v>
      </c>
      <c r="D38">
        <v>3.05</v>
      </c>
      <c r="E38">
        <v>12.75</v>
      </c>
      <c r="F38">
        <v>850597616</v>
      </c>
      <c r="G38" s="1">
        <v>44567</v>
      </c>
      <c r="H38" s="1">
        <v>44574</v>
      </c>
      <c r="I38">
        <v>7</v>
      </c>
      <c r="J38" t="s">
        <v>55</v>
      </c>
      <c r="K38" t="s">
        <v>56</v>
      </c>
      <c r="L38">
        <v>2335618214</v>
      </c>
      <c r="M38" t="s">
        <v>53</v>
      </c>
      <c r="N38" t="s">
        <v>98</v>
      </c>
    </row>
    <row r="39" spans="1:14" x14ac:dyDescent="0.2">
      <c r="A39" s="1">
        <v>44582</v>
      </c>
      <c r="B39" t="s">
        <v>8</v>
      </c>
      <c r="C39">
        <v>10.5</v>
      </c>
      <c r="D39">
        <v>4</v>
      </c>
      <c r="E39">
        <v>14.5</v>
      </c>
      <c r="F39">
        <v>850621096</v>
      </c>
      <c r="G39" s="1">
        <v>44582</v>
      </c>
      <c r="H39" s="1">
        <v>44589</v>
      </c>
      <c r="I39">
        <v>7</v>
      </c>
      <c r="J39" t="s">
        <v>57</v>
      </c>
      <c r="K39" t="s">
        <v>10</v>
      </c>
      <c r="L39">
        <v>2351668346</v>
      </c>
      <c r="M39" t="s">
        <v>47</v>
      </c>
      <c r="N39" t="s">
        <v>98</v>
      </c>
    </row>
    <row r="40" spans="1:14" x14ac:dyDescent="0.2">
      <c r="A40" s="1">
        <v>44623</v>
      </c>
      <c r="B40" t="s">
        <v>22</v>
      </c>
      <c r="C40">
        <v>11</v>
      </c>
      <c r="D40">
        <v>1.29</v>
      </c>
      <c r="E40">
        <v>12.29</v>
      </c>
      <c r="F40">
        <v>863807800</v>
      </c>
      <c r="G40" s="1">
        <v>44623</v>
      </c>
      <c r="H40" s="1">
        <v>44632</v>
      </c>
      <c r="I40">
        <v>9</v>
      </c>
      <c r="J40" t="s">
        <v>58</v>
      </c>
      <c r="K40" t="s">
        <v>13</v>
      </c>
      <c r="L40">
        <v>2398367806</v>
      </c>
      <c r="M40" t="s">
        <v>47</v>
      </c>
      <c r="N40" t="s">
        <v>95</v>
      </c>
    </row>
    <row r="41" spans="1:14" x14ac:dyDescent="0.2">
      <c r="A41" s="1">
        <v>44625</v>
      </c>
      <c r="B41" t="s">
        <v>8</v>
      </c>
      <c r="C41">
        <v>10.5</v>
      </c>
      <c r="D41">
        <v>4</v>
      </c>
      <c r="E41">
        <v>14.5</v>
      </c>
      <c r="F41">
        <v>850621096</v>
      </c>
      <c r="G41" s="1">
        <v>44625</v>
      </c>
      <c r="H41" s="1">
        <v>44632</v>
      </c>
      <c r="I41">
        <v>7</v>
      </c>
      <c r="J41" t="s">
        <v>59</v>
      </c>
      <c r="K41" t="s">
        <v>10</v>
      </c>
      <c r="L41">
        <v>2399295961</v>
      </c>
      <c r="M41" t="s">
        <v>47</v>
      </c>
      <c r="N41" t="s">
        <v>98</v>
      </c>
    </row>
    <row r="42" spans="1:14" x14ac:dyDescent="0.2">
      <c r="A42" s="1">
        <v>44716</v>
      </c>
      <c r="B42" t="s">
        <v>8</v>
      </c>
      <c r="C42">
        <v>10.5</v>
      </c>
      <c r="D42">
        <v>4</v>
      </c>
      <c r="E42">
        <v>14.5</v>
      </c>
      <c r="F42">
        <v>850621096</v>
      </c>
      <c r="G42" s="1">
        <v>44716</v>
      </c>
      <c r="H42" s="1">
        <v>44722</v>
      </c>
      <c r="I42">
        <v>6</v>
      </c>
      <c r="J42" t="s">
        <v>60</v>
      </c>
      <c r="K42" t="s">
        <v>10</v>
      </c>
      <c r="L42">
        <v>2493930689</v>
      </c>
      <c r="M42" t="s">
        <v>47</v>
      </c>
      <c r="N42" t="s">
        <v>98</v>
      </c>
    </row>
    <row r="43" spans="1:14" x14ac:dyDescent="0.2">
      <c r="A43" s="1">
        <v>44744</v>
      </c>
      <c r="B43" t="s">
        <v>16</v>
      </c>
      <c r="C43">
        <v>7.7</v>
      </c>
      <c r="D43">
        <v>1.29</v>
      </c>
      <c r="E43">
        <v>8.99</v>
      </c>
      <c r="F43">
        <v>864534993</v>
      </c>
      <c r="G43" s="1">
        <v>44744</v>
      </c>
      <c r="H43" s="1">
        <v>44750</v>
      </c>
      <c r="I43">
        <v>6</v>
      </c>
      <c r="J43" t="s">
        <v>61</v>
      </c>
      <c r="K43" t="s">
        <v>13</v>
      </c>
      <c r="L43">
        <v>2523252168</v>
      </c>
      <c r="M43" t="s">
        <v>53</v>
      </c>
      <c r="N43" t="s">
        <v>93</v>
      </c>
    </row>
    <row r="44" spans="1:14" x14ac:dyDescent="0.2">
      <c r="A44" s="1">
        <v>44747</v>
      </c>
      <c r="B44" t="s">
        <v>8</v>
      </c>
      <c r="C44">
        <v>10.5</v>
      </c>
      <c r="D44">
        <v>1.29</v>
      </c>
      <c r="E44">
        <v>11.79</v>
      </c>
      <c r="F44">
        <v>850621096</v>
      </c>
      <c r="G44" s="1">
        <v>44747</v>
      </c>
      <c r="H44" s="1">
        <v>44751</v>
      </c>
      <c r="I44">
        <v>4</v>
      </c>
      <c r="J44" t="s">
        <v>62</v>
      </c>
      <c r="K44" t="s">
        <v>13</v>
      </c>
      <c r="L44">
        <v>2523717725</v>
      </c>
      <c r="M44" t="s">
        <v>47</v>
      </c>
      <c r="N44" t="s">
        <v>95</v>
      </c>
    </row>
    <row r="45" spans="1:14" x14ac:dyDescent="0.2">
      <c r="A45" s="1">
        <v>44814</v>
      </c>
      <c r="B45" t="s">
        <v>8</v>
      </c>
      <c r="C45">
        <v>10.5</v>
      </c>
      <c r="D45">
        <v>4</v>
      </c>
      <c r="E45">
        <v>14.5</v>
      </c>
      <c r="F45">
        <v>850621096</v>
      </c>
      <c r="G45" s="1">
        <v>44814</v>
      </c>
      <c r="H45" s="1">
        <v>44821</v>
      </c>
      <c r="I45">
        <v>7</v>
      </c>
      <c r="J45" t="s">
        <v>63</v>
      </c>
      <c r="K45" t="s">
        <v>10</v>
      </c>
      <c r="L45">
        <v>2591459037</v>
      </c>
      <c r="M45" t="s">
        <v>47</v>
      </c>
      <c r="N45" t="s">
        <v>98</v>
      </c>
    </row>
    <row r="46" spans="1:14" x14ac:dyDescent="0.2">
      <c r="A46" s="1">
        <v>44847</v>
      </c>
      <c r="B46" t="s">
        <v>32</v>
      </c>
      <c r="C46">
        <v>9.5</v>
      </c>
      <c r="D46">
        <v>1.29</v>
      </c>
      <c r="E46">
        <v>10.79</v>
      </c>
      <c r="F46">
        <v>850597616</v>
      </c>
      <c r="G46" s="1">
        <v>44847</v>
      </c>
      <c r="H46" s="1">
        <v>44854</v>
      </c>
      <c r="I46">
        <v>7</v>
      </c>
      <c r="J46" t="s">
        <v>64</v>
      </c>
      <c r="K46" t="s">
        <v>13</v>
      </c>
      <c r="L46">
        <v>2631431746</v>
      </c>
      <c r="M46" t="s">
        <v>47</v>
      </c>
      <c r="N46" t="s">
        <v>95</v>
      </c>
    </row>
    <row r="47" spans="1:14" x14ac:dyDescent="0.2">
      <c r="A47" s="1">
        <v>44870</v>
      </c>
      <c r="B47" t="s">
        <v>38</v>
      </c>
      <c r="C47">
        <v>7.5</v>
      </c>
      <c r="D47">
        <v>1.29</v>
      </c>
      <c r="E47">
        <v>8.7899999999999991</v>
      </c>
      <c r="F47">
        <v>864527775</v>
      </c>
      <c r="G47" s="1">
        <v>44870</v>
      </c>
      <c r="H47" s="1">
        <v>44876</v>
      </c>
      <c r="I47">
        <v>6</v>
      </c>
      <c r="J47" t="s">
        <v>62</v>
      </c>
      <c r="K47" t="s">
        <v>13</v>
      </c>
      <c r="L47">
        <v>2657883166</v>
      </c>
      <c r="M47" t="s">
        <v>47</v>
      </c>
      <c r="N47" t="s">
        <v>95</v>
      </c>
    </row>
    <row r="48" spans="1:14" x14ac:dyDescent="0.2">
      <c r="A48" s="1">
        <v>44875</v>
      </c>
      <c r="B48" t="s">
        <v>16</v>
      </c>
      <c r="C48">
        <v>7.5</v>
      </c>
      <c r="D48">
        <v>1.29</v>
      </c>
      <c r="E48">
        <v>8.7899999999999991</v>
      </c>
      <c r="F48">
        <v>864534993</v>
      </c>
      <c r="G48" s="1">
        <v>44875</v>
      </c>
      <c r="H48" s="1">
        <v>44882</v>
      </c>
      <c r="I48">
        <v>7</v>
      </c>
      <c r="J48" t="s">
        <v>65</v>
      </c>
      <c r="K48" t="s">
        <v>13</v>
      </c>
      <c r="L48">
        <v>2665604414</v>
      </c>
      <c r="M48" t="s">
        <v>47</v>
      </c>
      <c r="N48" t="s">
        <v>95</v>
      </c>
    </row>
    <row r="49" spans="1:14" x14ac:dyDescent="0.2">
      <c r="A49" s="1">
        <v>44886</v>
      </c>
      <c r="B49" t="s">
        <v>8</v>
      </c>
      <c r="C49">
        <v>10.5</v>
      </c>
      <c r="D49">
        <v>4</v>
      </c>
      <c r="E49">
        <v>14.5</v>
      </c>
      <c r="F49">
        <v>850621096</v>
      </c>
      <c r="G49" s="1">
        <v>44886</v>
      </c>
      <c r="H49" s="1">
        <v>44893</v>
      </c>
      <c r="I49">
        <v>7</v>
      </c>
      <c r="J49" t="s">
        <v>66</v>
      </c>
      <c r="K49" t="s">
        <v>10</v>
      </c>
      <c r="L49">
        <v>2682202932</v>
      </c>
      <c r="M49" t="s">
        <v>47</v>
      </c>
      <c r="N49" t="s">
        <v>98</v>
      </c>
    </row>
    <row r="50" spans="1:14" x14ac:dyDescent="0.2">
      <c r="A50" s="1">
        <v>44971</v>
      </c>
      <c r="B50" t="s">
        <v>8</v>
      </c>
      <c r="C50">
        <v>10.7</v>
      </c>
      <c r="D50">
        <v>1.29</v>
      </c>
      <c r="E50">
        <v>11.989999999999998</v>
      </c>
      <c r="F50">
        <v>850621096</v>
      </c>
      <c r="G50" s="1">
        <v>44971</v>
      </c>
      <c r="H50" s="1">
        <v>44978</v>
      </c>
      <c r="I50">
        <v>7</v>
      </c>
      <c r="J50" t="s">
        <v>67</v>
      </c>
      <c r="K50" t="s">
        <v>13</v>
      </c>
      <c r="L50">
        <v>2793307367</v>
      </c>
      <c r="M50" t="s">
        <v>53</v>
      </c>
      <c r="N50" t="s">
        <v>95</v>
      </c>
    </row>
    <row r="51" spans="1:14" x14ac:dyDescent="0.2">
      <c r="A51" s="1">
        <v>45023</v>
      </c>
      <c r="B51" t="s">
        <v>16</v>
      </c>
      <c r="C51">
        <v>7.5</v>
      </c>
      <c r="D51">
        <v>1.29</v>
      </c>
      <c r="E51">
        <v>8.7899999999999991</v>
      </c>
      <c r="F51">
        <v>864534993</v>
      </c>
      <c r="G51" s="1">
        <v>45023</v>
      </c>
      <c r="H51" s="1">
        <v>45030</v>
      </c>
      <c r="I51">
        <v>7</v>
      </c>
      <c r="J51" t="s">
        <v>68</v>
      </c>
      <c r="K51" t="s">
        <v>13</v>
      </c>
      <c r="L51">
        <v>2852896238</v>
      </c>
      <c r="M51" t="s">
        <v>47</v>
      </c>
      <c r="N51" t="s">
        <v>19</v>
      </c>
    </row>
    <row r="52" spans="1:14" x14ac:dyDescent="0.2">
      <c r="A52" s="1">
        <v>45023</v>
      </c>
      <c r="B52" t="s">
        <v>16</v>
      </c>
      <c r="C52">
        <v>7.5</v>
      </c>
      <c r="D52">
        <v>1.29</v>
      </c>
      <c r="E52">
        <v>8.7899999999999991</v>
      </c>
      <c r="F52">
        <v>864534993</v>
      </c>
      <c r="G52" s="1">
        <v>45023</v>
      </c>
      <c r="H52" s="1">
        <v>45030</v>
      </c>
      <c r="I52">
        <v>7</v>
      </c>
      <c r="J52" t="s">
        <v>68</v>
      </c>
      <c r="K52" t="s">
        <v>13</v>
      </c>
      <c r="L52">
        <v>2852896238</v>
      </c>
      <c r="M52" t="s">
        <v>47</v>
      </c>
      <c r="N52" t="s">
        <v>19</v>
      </c>
    </row>
    <row r="53" spans="1:14" x14ac:dyDescent="0.2">
      <c r="A53" s="1">
        <v>45025</v>
      </c>
      <c r="B53" t="s">
        <v>16</v>
      </c>
      <c r="C53">
        <v>7.5</v>
      </c>
      <c r="D53">
        <v>1.29</v>
      </c>
      <c r="E53">
        <v>8.7899999999999991</v>
      </c>
      <c r="F53">
        <v>864534993</v>
      </c>
      <c r="G53" s="1">
        <v>45025</v>
      </c>
      <c r="H53" s="1">
        <v>45030</v>
      </c>
      <c r="I53">
        <v>5</v>
      </c>
      <c r="J53" t="s">
        <v>69</v>
      </c>
      <c r="K53" t="s">
        <v>13</v>
      </c>
      <c r="L53">
        <v>2850342527</v>
      </c>
      <c r="M53" t="s">
        <v>47</v>
      </c>
      <c r="N53" t="s">
        <v>100</v>
      </c>
    </row>
    <row r="54" spans="1:14" x14ac:dyDescent="0.2">
      <c r="A54" s="1">
        <v>45032</v>
      </c>
      <c r="B54" t="s">
        <v>8</v>
      </c>
      <c r="C54">
        <v>10.5</v>
      </c>
      <c r="D54">
        <v>1.29</v>
      </c>
      <c r="E54">
        <v>11.79</v>
      </c>
      <c r="F54">
        <v>850621096</v>
      </c>
      <c r="G54" s="1">
        <v>45032</v>
      </c>
      <c r="H54" s="1">
        <v>45038</v>
      </c>
      <c r="I54">
        <v>6</v>
      </c>
      <c r="J54" t="s">
        <v>70</v>
      </c>
      <c r="K54" t="s">
        <v>13</v>
      </c>
      <c r="L54">
        <v>2857531315</v>
      </c>
      <c r="M54" t="s">
        <v>47</v>
      </c>
      <c r="N54" t="s">
        <v>94</v>
      </c>
    </row>
    <row r="55" spans="1:14" x14ac:dyDescent="0.2">
      <c r="A55" s="1">
        <v>45033</v>
      </c>
      <c r="B55" t="s">
        <v>8</v>
      </c>
      <c r="C55">
        <v>10.5</v>
      </c>
      <c r="D55">
        <v>8</v>
      </c>
      <c r="E55">
        <v>18.5</v>
      </c>
      <c r="F55">
        <v>850621096</v>
      </c>
      <c r="G55" s="1">
        <v>45033</v>
      </c>
      <c r="H55" s="1">
        <v>45038</v>
      </c>
      <c r="I55">
        <v>5</v>
      </c>
      <c r="J55" t="s">
        <v>71</v>
      </c>
      <c r="K55" t="s">
        <v>10</v>
      </c>
      <c r="L55">
        <v>2858433595</v>
      </c>
      <c r="M55" t="s">
        <v>47</v>
      </c>
      <c r="N55" t="s">
        <v>98</v>
      </c>
    </row>
    <row r="56" spans="1:14" x14ac:dyDescent="0.2">
      <c r="A56" s="1">
        <v>45045</v>
      </c>
      <c r="B56" t="s">
        <v>8</v>
      </c>
      <c r="C56">
        <v>10.5</v>
      </c>
      <c r="D56">
        <v>1.29</v>
      </c>
      <c r="E56">
        <v>11.79</v>
      </c>
      <c r="F56">
        <v>850621096</v>
      </c>
      <c r="G56" s="1">
        <v>45045</v>
      </c>
      <c r="H56" s="1">
        <v>45049</v>
      </c>
      <c r="I56">
        <v>4</v>
      </c>
      <c r="J56" t="s">
        <v>72</v>
      </c>
      <c r="K56" t="s">
        <v>13</v>
      </c>
      <c r="L56">
        <v>2875280454</v>
      </c>
      <c r="M56" t="s">
        <v>47</v>
      </c>
      <c r="N56" t="s">
        <v>101</v>
      </c>
    </row>
    <row r="57" spans="1:14" x14ac:dyDescent="0.2">
      <c r="A57" s="1">
        <v>45046</v>
      </c>
      <c r="B57" t="s">
        <v>22</v>
      </c>
      <c r="C57">
        <v>11</v>
      </c>
      <c r="D57">
        <v>1.29</v>
      </c>
      <c r="E57">
        <v>12.29</v>
      </c>
      <c r="F57">
        <v>863807800</v>
      </c>
      <c r="G57" s="1">
        <v>45046</v>
      </c>
      <c r="H57" s="1">
        <v>45051</v>
      </c>
      <c r="I57">
        <v>5</v>
      </c>
      <c r="J57" t="s">
        <v>73</v>
      </c>
      <c r="K57" t="s">
        <v>13</v>
      </c>
      <c r="L57">
        <v>2876360464</v>
      </c>
      <c r="M57" t="s">
        <v>47</v>
      </c>
      <c r="N57" t="s">
        <v>102</v>
      </c>
    </row>
    <row r="58" spans="1:14" x14ac:dyDescent="0.2">
      <c r="A58" s="1">
        <v>45122</v>
      </c>
      <c r="B58" t="s">
        <v>16</v>
      </c>
      <c r="C58">
        <v>7.5</v>
      </c>
      <c r="D58">
        <v>1.29</v>
      </c>
      <c r="E58">
        <v>8.7899999999999991</v>
      </c>
      <c r="F58">
        <v>864534993</v>
      </c>
      <c r="G58" s="1">
        <v>45122</v>
      </c>
      <c r="H58" s="1">
        <v>45128</v>
      </c>
      <c r="I58">
        <v>6</v>
      </c>
      <c r="J58" t="s">
        <v>74</v>
      </c>
      <c r="K58" t="s">
        <v>13</v>
      </c>
      <c r="L58">
        <v>2946491923</v>
      </c>
      <c r="M58" t="s">
        <v>47</v>
      </c>
      <c r="N58" t="s">
        <v>102</v>
      </c>
    </row>
    <row r="59" spans="1:14" x14ac:dyDescent="0.2">
      <c r="A59" s="1">
        <v>45164</v>
      </c>
      <c r="B59" t="s">
        <v>11</v>
      </c>
      <c r="C59">
        <v>8</v>
      </c>
      <c r="D59">
        <v>3.05</v>
      </c>
      <c r="E59">
        <v>11.05</v>
      </c>
      <c r="F59">
        <v>948060667</v>
      </c>
      <c r="G59" s="1">
        <v>45164</v>
      </c>
      <c r="H59" s="1">
        <v>45169</v>
      </c>
      <c r="I59">
        <v>5</v>
      </c>
      <c r="J59" t="s">
        <v>75</v>
      </c>
      <c r="K59" t="s">
        <v>76</v>
      </c>
      <c r="L59">
        <v>2996581684</v>
      </c>
      <c r="M59" t="s">
        <v>47</v>
      </c>
      <c r="N59" t="s">
        <v>98</v>
      </c>
    </row>
    <row r="60" spans="1:14" x14ac:dyDescent="0.2">
      <c r="A60" s="1">
        <v>45237</v>
      </c>
      <c r="B60" t="s">
        <v>77</v>
      </c>
      <c r="C60">
        <v>9</v>
      </c>
      <c r="D60">
        <v>1.29</v>
      </c>
      <c r="E60">
        <v>10.29</v>
      </c>
      <c r="F60">
        <v>909556683</v>
      </c>
      <c r="G60" s="1">
        <v>45237</v>
      </c>
      <c r="H60" s="1">
        <v>45245</v>
      </c>
      <c r="I60">
        <v>8</v>
      </c>
      <c r="J60" t="s">
        <v>78</v>
      </c>
      <c r="K60" t="s">
        <v>13</v>
      </c>
      <c r="L60">
        <v>3069216381</v>
      </c>
      <c r="M60" t="s">
        <v>47</v>
      </c>
      <c r="N60" t="s">
        <v>96</v>
      </c>
    </row>
    <row r="61" spans="1:14" x14ac:dyDescent="0.2">
      <c r="A61" s="1">
        <v>45369</v>
      </c>
      <c r="B61" t="s">
        <v>22</v>
      </c>
      <c r="C61">
        <v>11</v>
      </c>
      <c r="D61">
        <v>1.29</v>
      </c>
      <c r="E61">
        <v>12.29</v>
      </c>
      <c r="F61">
        <v>863807800</v>
      </c>
      <c r="G61" s="1">
        <v>45369</v>
      </c>
      <c r="H61" s="1">
        <v>45375</v>
      </c>
      <c r="I61">
        <v>6</v>
      </c>
      <c r="J61" t="s">
        <v>79</v>
      </c>
      <c r="K61" t="s">
        <v>13</v>
      </c>
      <c r="L61">
        <v>3238975071</v>
      </c>
      <c r="M61" t="s">
        <v>47</v>
      </c>
      <c r="N61" t="s">
        <v>19</v>
      </c>
    </row>
    <row r="62" spans="1:14" x14ac:dyDescent="0.2">
      <c r="A62" s="1">
        <v>45379</v>
      </c>
      <c r="B62" t="s">
        <v>22</v>
      </c>
      <c r="C62">
        <v>11</v>
      </c>
      <c r="D62">
        <v>2.58</v>
      </c>
      <c r="E62">
        <v>13.58</v>
      </c>
      <c r="F62">
        <v>863807800</v>
      </c>
      <c r="G62" s="1">
        <v>45379</v>
      </c>
      <c r="H62" s="1">
        <v>45390</v>
      </c>
      <c r="I62">
        <v>11</v>
      </c>
      <c r="J62" t="s">
        <v>79</v>
      </c>
      <c r="K62" t="s">
        <v>13</v>
      </c>
      <c r="L62">
        <v>3255237608</v>
      </c>
      <c r="M62" t="s">
        <v>47</v>
      </c>
      <c r="N62" t="s">
        <v>19</v>
      </c>
    </row>
    <row r="63" spans="1:14" x14ac:dyDescent="0.2">
      <c r="A63" s="1">
        <v>45392</v>
      </c>
      <c r="B63" t="s">
        <v>77</v>
      </c>
      <c r="C63">
        <v>9</v>
      </c>
      <c r="D63">
        <v>4</v>
      </c>
      <c r="E63">
        <v>13</v>
      </c>
      <c r="F63">
        <v>909556683</v>
      </c>
      <c r="G63" s="1">
        <v>45392</v>
      </c>
      <c r="H63" s="1">
        <v>45402</v>
      </c>
      <c r="I63">
        <v>10</v>
      </c>
      <c r="J63" t="s">
        <v>80</v>
      </c>
      <c r="K63" t="s">
        <v>10</v>
      </c>
      <c r="L63">
        <v>3267166290</v>
      </c>
      <c r="M63" t="s">
        <v>47</v>
      </c>
      <c r="N63" t="s">
        <v>98</v>
      </c>
    </row>
    <row r="64" spans="1:14" x14ac:dyDescent="0.2">
      <c r="A64" s="1">
        <v>45394</v>
      </c>
      <c r="B64" t="s">
        <v>32</v>
      </c>
      <c r="C64">
        <v>9.5</v>
      </c>
      <c r="D64">
        <v>1.29</v>
      </c>
      <c r="E64">
        <v>10.79</v>
      </c>
      <c r="F64">
        <v>850597616</v>
      </c>
      <c r="G64" s="1">
        <v>45394</v>
      </c>
      <c r="H64" s="1">
        <v>45402</v>
      </c>
      <c r="I64">
        <v>8</v>
      </c>
      <c r="J64" t="s">
        <v>81</v>
      </c>
      <c r="K64" t="s">
        <v>13</v>
      </c>
      <c r="L64">
        <v>3269229030</v>
      </c>
      <c r="M64" t="s">
        <v>47</v>
      </c>
      <c r="N64" t="s">
        <v>21</v>
      </c>
    </row>
    <row r="65" spans="1:14" x14ac:dyDescent="0.2">
      <c r="A65" s="1">
        <v>45406</v>
      </c>
      <c r="B65" t="s">
        <v>77</v>
      </c>
      <c r="C65">
        <v>9</v>
      </c>
      <c r="D65">
        <v>4</v>
      </c>
      <c r="E65">
        <v>13</v>
      </c>
      <c r="F65">
        <v>909556683</v>
      </c>
      <c r="G65" s="1">
        <v>45406</v>
      </c>
      <c r="H65" s="1">
        <v>45413</v>
      </c>
      <c r="I65">
        <v>7</v>
      </c>
      <c r="J65" t="s">
        <v>82</v>
      </c>
      <c r="K65" t="s">
        <v>10</v>
      </c>
      <c r="L65">
        <v>3280915822</v>
      </c>
      <c r="M65" t="s">
        <v>47</v>
      </c>
      <c r="N65" t="s">
        <v>98</v>
      </c>
    </row>
    <row r="66" spans="1:14" x14ac:dyDescent="0.2">
      <c r="A66" s="1">
        <v>45431</v>
      </c>
      <c r="B66" t="s">
        <v>32</v>
      </c>
      <c r="C66">
        <v>9.5</v>
      </c>
      <c r="D66">
        <v>3.05</v>
      </c>
      <c r="E66">
        <v>12.55</v>
      </c>
      <c r="F66">
        <v>850597616</v>
      </c>
      <c r="G66" s="1">
        <v>45431</v>
      </c>
      <c r="H66" s="1">
        <v>45440</v>
      </c>
      <c r="I66">
        <v>9</v>
      </c>
      <c r="J66" t="s">
        <v>83</v>
      </c>
      <c r="K66" t="s">
        <v>37</v>
      </c>
      <c r="L66">
        <v>3308350274</v>
      </c>
      <c r="M66" t="s">
        <v>47</v>
      </c>
      <c r="N66" t="s">
        <v>98</v>
      </c>
    </row>
    <row r="67" spans="1:14" x14ac:dyDescent="0.2">
      <c r="A67" s="1">
        <v>45435</v>
      </c>
      <c r="B67" t="s">
        <v>22</v>
      </c>
      <c r="C67">
        <v>11</v>
      </c>
      <c r="D67">
        <v>4</v>
      </c>
      <c r="E67">
        <v>15</v>
      </c>
      <c r="F67">
        <v>863807800</v>
      </c>
      <c r="G67" s="1">
        <v>45435</v>
      </c>
      <c r="H67" s="1">
        <v>45443</v>
      </c>
      <c r="I67">
        <v>8</v>
      </c>
      <c r="J67" t="s">
        <v>84</v>
      </c>
      <c r="K67" t="s">
        <v>10</v>
      </c>
      <c r="L67">
        <v>3306154939</v>
      </c>
      <c r="M67" t="s">
        <v>47</v>
      </c>
      <c r="N67" t="s">
        <v>98</v>
      </c>
    </row>
    <row r="68" spans="1:14" x14ac:dyDescent="0.2">
      <c r="A68" s="1">
        <v>45457</v>
      </c>
      <c r="B68" t="s">
        <v>16</v>
      </c>
      <c r="C68">
        <v>7.5</v>
      </c>
      <c r="D68">
        <v>1.29</v>
      </c>
      <c r="E68">
        <v>8.7899999999999991</v>
      </c>
      <c r="F68">
        <v>864534993</v>
      </c>
      <c r="G68" s="1">
        <v>45457</v>
      </c>
      <c r="H68" s="1">
        <v>45464</v>
      </c>
      <c r="I68">
        <v>7</v>
      </c>
      <c r="J68" t="s">
        <v>85</v>
      </c>
      <c r="K68" t="s">
        <v>13</v>
      </c>
      <c r="L68">
        <v>3333757950</v>
      </c>
      <c r="M68" t="s">
        <v>47</v>
      </c>
      <c r="N68" t="s">
        <v>94</v>
      </c>
    </row>
    <row r="69" spans="1:14" x14ac:dyDescent="0.2">
      <c r="A69" s="1">
        <v>45460</v>
      </c>
      <c r="B69" t="s">
        <v>8</v>
      </c>
      <c r="C69">
        <v>10.5</v>
      </c>
      <c r="D69">
        <v>1.29</v>
      </c>
      <c r="E69">
        <v>11.79</v>
      </c>
      <c r="F69">
        <v>850621096</v>
      </c>
      <c r="G69" s="1">
        <v>45460</v>
      </c>
      <c r="H69" s="1">
        <v>45467</v>
      </c>
      <c r="I69">
        <v>7</v>
      </c>
      <c r="J69" t="s">
        <v>86</v>
      </c>
      <c r="K69" t="s">
        <v>13</v>
      </c>
      <c r="L69">
        <v>3330780565</v>
      </c>
      <c r="M69" t="s">
        <v>47</v>
      </c>
      <c r="N69" t="s">
        <v>19</v>
      </c>
    </row>
    <row r="70" spans="1:14" x14ac:dyDescent="0.2">
      <c r="A70" s="1">
        <v>45462</v>
      </c>
      <c r="B70" t="s">
        <v>8</v>
      </c>
      <c r="C70">
        <v>10.7</v>
      </c>
      <c r="D70">
        <v>1.29</v>
      </c>
      <c r="E70">
        <v>11.989999999999998</v>
      </c>
      <c r="F70">
        <v>850621096</v>
      </c>
      <c r="G70" s="1">
        <v>45462</v>
      </c>
      <c r="H70" s="1">
        <v>45467</v>
      </c>
      <c r="I70">
        <v>5</v>
      </c>
      <c r="J70" t="s">
        <v>87</v>
      </c>
      <c r="K70" t="s">
        <v>13</v>
      </c>
      <c r="L70">
        <v>3332200039</v>
      </c>
      <c r="M70" t="s">
        <v>53</v>
      </c>
      <c r="N70" t="s">
        <v>96</v>
      </c>
    </row>
    <row r="71" spans="1:14" x14ac:dyDescent="0.2">
      <c r="A71" s="1">
        <v>45551</v>
      </c>
      <c r="B71" t="s">
        <v>8</v>
      </c>
      <c r="C71">
        <v>10.5</v>
      </c>
      <c r="D71">
        <v>1.29</v>
      </c>
      <c r="E71">
        <v>11.79</v>
      </c>
      <c r="F71">
        <v>850621096</v>
      </c>
      <c r="G71" s="1">
        <v>45551</v>
      </c>
      <c r="H71" s="1">
        <v>45560</v>
      </c>
      <c r="I71">
        <v>9</v>
      </c>
      <c r="J71" t="s">
        <v>15</v>
      </c>
      <c r="K71" t="s">
        <v>13</v>
      </c>
      <c r="L71">
        <v>3418745809</v>
      </c>
      <c r="M71" t="s">
        <v>47</v>
      </c>
      <c r="N71" t="s">
        <v>99</v>
      </c>
    </row>
    <row r="72" spans="1:14" x14ac:dyDescent="0.2">
      <c r="A72" s="1">
        <v>45602</v>
      </c>
      <c r="B72" t="s">
        <v>8</v>
      </c>
      <c r="C72">
        <v>10.5</v>
      </c>
      <c r="D72">
        <v>1.29</v>
      </c>
      <c r="E72">
        <v>11.79</v>
      </c>
      <c r="F72">
        <v>850621096</v>
      </c>
      <c r="G72" s="1">
        <v>45602</v>
      </c>
      <c r="H72" s="1">
        <v>45610</v>
      </c>
      <c r="I72">
        <v>8</v>
      </c>
      <c r="J72" t="s">
        <v>79</v>
      </c>
      <c r="K72" t="s">
        <v>13</v>
      </c>
      <c r="L72">
        <v>3473331500</v>
      </c>
      <c r="M72" t="s">
        <v>47</v>
      </c>
      <c r="N72" t="s">
        <v>19</v>
      </c>
    </row>
    <row r="73" spans="1:14" x14ac:dyDescent="0.2">
      <c r="A73" s="1">
        <v>45655</v>
      </c>
      <c r="B73" t="s">
        <v>8</v>
      </c>
      <c r="C73">
        <v>10.5</v>
      </c>
      <c r="D73">
        <v>1.29</v>
      </c>
      <c r="E73">
        <v>11.79</v>
      </c>
      <c r="F73">
        <v>850621096</v>
      </c>
      <c r="G73" s="1">
        <v>45655</v>
      </c>
      <c r="H73" s="1">
        <v>45661</v>
      </c>
      <c r="I73">
        <v>6</v>
      </c>
      <c r="J73" t="s">
        <v>88</v>
      </c>
      <c r="K73" t="s">
        <v>13</v>
      </c>
      <c r="L73">
        <v>3556597123</v>
      </c>
      <c r="M73" t="s">
        <v>47</v>
      </c>
      <c r="N73" t="s">
        <v>102</v>
      </c>
    </row>
    <row r="74" spans="1:14" x14ac:dyDescent="0.2">
      <c r="A74" s="1">
        <v>45666</v>
      </c>
      <c r="B74" t="s">
        <v>22</v>
      </c>
      <c r="C74">
        <v>11</v>
      </c>
      <c r="D74">
        <v>1.29</v>
      </c>
      <c r="E74">
        <v>12.29</v>
      </c>
      <c r="F74">
        <v>863807800</v>
      </c>
      <c r="G74" s="1">
        <v>45666</v>
      </c>
      <c r="H74" s="1">
        <v>45672</v>
      </c>
      <c r="I74">
        <v>6</v>
      </c>
      <c r="J74" t="s">
        <v>85</v>
      </c>
      <c r="K74" t="s">
        <v>13</v>
      </c>
      <c r="L74">
        <v>3567221823</v>
      </c>
      <c r="M74" t="s">
        <v>47</v>
      </c>
      <c r="N74" t="s">
        <v>94</v>
      </c>
    </row>
    <row r="75" spans="1:14" x14ac:dyDescent="0.2">
      <c r="A75" s="1">
        <v>45699</v>
      </c>
      <c r="B75" t="s">
        <v>22</v>
      </c>
      <c r="C75">
        <v>11</v>
      </c>
      <c r="D75">
        <v>4</v>
      </c>
      <c r="E75">
        <v>15</v>
      </c>
      <c r="F75">
        <v>863807800</v>
      </c>
      <c r="G75" s="1">
        <v>45699</v>
      </c>
      <c r="H75" s="1">
        <v>45706</v>
      </c>
      <c r="I75">
        <v>7</v>
      </c>
      <c r="J75" t="s">
        <v>89</v>
      </c>
      <c r="K75" t="s">
        <v>10</v>
      </c>
      <c r="L75">
        <v>3600153231</v>
      </c>
      <c r="M75" t="s">
        <v>47</v>
      </c>
      <c r="N75" t="s">
        <v>98</v>
      </c>
    </row>
    <row r="76" spans="1:14" x14ac:dyDescent="0.2">
      <c r="A76" s="1">
        <v>45795</v>
      </c>
      <c r="B76" t="s">
        <v>32</v>
      </c>
      <c r="C76">
        <v>9.6999999999999993</v>
      </c>
      <c r="D76">
        <v>4</v>
      </c>
      <c r="E76">
        <v>13.7</v>
      </c>
      <c r="F76">
        <v>850597616</v>
      </c>
      <c r="G76" s="1">
        <v>45795</v>
      </c>
      <c r="H76" s="1">
        <v>45800</v>
      </c>
      <c r="I76">
        <v>5</v>
      </c>
      <c r="J76" t="s">
        <v>90</v>
      </c>
      <c r="K76" t="s">
        <v>10</v>
      </c>
      <c r="L76">
        <v>3690778811</v>
      </c>
      <c r="M76" t="s">
        <v>53</v>
      </c>
      <c r="N76" t="s">
        <v>98</v>
      </c>
    </row>
    <row r="77" spans="1:14" x14ac:dyDescent="0.2">
      <c r="A77" s="1">
        <v>45995</v>
      </c>
      <c r="B77" t="s">
        <v>16</v>
      </c>
      <c r="C77">
        <v>7.5</v>
      </c>
      <c r="D77">
        <v>2</v>
      </c>
      <c r="E77">
        <v>9.5</v>
      </c>
      <c r="F77">
        <v>864534993</v>
      </c>
      <c r="G77" s="1">
        <v>45995</v>
      </c>
      <c r="H77" s="1">
        <v>46002</v>
      </c>
      <c r="I77">
        <v>7</v>
      </c>
      <c r="J77" t="s">
        <v>19</v>
      </c>
      <c r="K77" t="s">
        <v>13</v>
      </c>
      <c r="L77">
        <v>3898123533</v>
      </c>
      <c r="M77" t="s">
        <v>47</v>
      </c>
      <c r="N77" t="s">
        <v>19</v>
      </c>
    </row>
    <row r="78" spans="1:14" x14ac:dyDescent="0.2">
      <c r="A78" s="1">
        <v>46099</v>
      </c>
      <c r="B78" t="s">
        <v>77</v>
      </c>
      <c r="C78">
        <v>9</v>
      </c>
      <c r="D78">
        <v>2</v>
      </c>
      <c r="E78">
        <v>11</v>
      </c>
      <c r="F78">
        <v>909556683</v>
      </c>
      <c r="G78" s="1">
        <v>46099</v>
      </c>
      <c r="H78" s="1">
        <v>46105</v>
      </c>
      <c r="I78">
        <v>6</v>
      </c>
      <c r="J78" t="s">
        <v>91</v>
      </c>
      <c r="K78" t="s">
        <v>13</v>
      </c>
      <c r="L78">
        <v>4004229446</v>
      </c>
      <c r="M78" t="s">
        <v>47</v>
      </c>
      <c r="N78" t="s">
        <v>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5E89-4D5A-BD4C-84D4-D5987A9CFC4C}">
  <dimension ref="A3:B45"/>
  <sheetViews>
    <sheetView workbookViewId="0">
      <selection activeCell="Q26" sqref="Q26"/>
    </sheetView>
  </sheetViews>
  <sheetFormatPr baseColWidth="10" defaultRowHeight="16" x14ac:dyDescent="0.2"/>
  <cols>
    <col min="1" max="1" width="33.83203125" bestFit="1" customWidth="1"/>
    <col min="2" max="3" width="16.33203125" bestFit="1" customWidth="1"/>
  </cols>
  <sheetData>
    <row r="3" spans="1:2" x14ac:dyDescent="0.2">
      <c r="A3" s="3" t="s">
        <v>103</v>
      </c>
      <c r="B3" s="5" t="s">
        <v>112</v>
      </c>
    </row>
    <row r="4" spans="1:2" x14ac:dyDescent="0.2">
      <c r="A4" s="4" t="s">
        <v>105</v>
      </c>
      <c r="B4" s="6">
        <v>74.5</v>
      </c>
    </row>
    <row r="5" spans="1:2" x14ac:dyDescent="0.2">
      <c r="A5" s="4" t="s">
        <v>106</v>
      </c>
      <c r="B5" s="6">
        <v>323.21999999999997</v>
      </c>
    </row>
    <row r="6" spans="1:2" x14ac:dyDescent="0.2">
      <c r="A6" s="4" t="s">
        <v>107</v>
      </c>
      <c r="B6" s="6">
        <v>158.97999999999996</v>
      </c>
    </row>
    <row r="7" spans="1:2" x14ac:dyDescent="0.2">
      <c r="A7" s="4" t="s">
        <v>108</v>
      </c>
      <c r="B7" s="6">
        <v>122.85999999999999</v>
      </c>
    </row>
    <row r="8" spans="1:2" x14ac:dyDescent="0.2">
      <c r="A8" s="4" t="s">
        <v>109</v>
      </c>
      <c r="B8" s="6">
        <v>158.14999999999998</v>
      </c>
    </row>
    <row r="9" spans="1:2" x14ac:dyDescent="0.2">
      <c r="A9" s="4" t="s">
        <v>110</v>
      </c>
      <c r="B9" s="6">
        <v>50.489999999999995</v>
      </c>
    </row>
    <row r="10" spans="1:2" x14ac:dyDescent="0.2">
      <c r="A10" s="4" t="s">
        <v>111</v>
      </c>
      <c r="B10" s="6">
        <v>11</v>
      </c>
    </row>
    <row r="11" spans="1:2" x14ac:dyDescent="0.2">
      <c r="A11" s="4" t="s">
        <v>104</v>
      </c>
      <c r="B11" s="6">
        <v>899.19999999999993</v>
      </c>
    </row>
    <row r="18" spans="1:2" x14ac:dyDescent="0.2">
      <c r="A18" s="3" t="s">
        <v>103</v>
      </c>
      <c r="B18" t="s">
        <v>112</v>
      </c>
    </row>
    <row r="19" spans="1:2" x14ac:dyDescent="0.2">
      <c r="A19" s="4" t="s">
        <v>101</v>
      </c>
      <c r="B19" s="5">
        <v>11.79</v>
      </c>
    </row>
    <row r="20" spans="1:2" x14ac:dyDescent="0.2">
      <c r="A20" s="4" t="s">
        <v>97</v>
      </c>
      <c r="B20" s="5">
        <v>21.49</v>
      </c>
    </row>
    <row r="21" spans="1:2" x14ac:dyDescent="0.2">
      <c r="A21" s="4" t="s">
        <v>93</v>
      </c>
      <c r="B21" s="5">
        <v>30.479999999999997</v>
      </c>
    </row>
    <row r="22" spans="1:2" x14ac:dyDescent="0.2">
      <c r="A22" s="4" t="s">
        <v>100</v>
      </c>
      <c r="B22" s="5">
        <v>32.869999999999997</v>
      </c>
    </row>
    <row r="23" spans="1:2" x14ac:dyDescent="0.2">
      <c r="A23" s="4" t="s">
        <v>102</v>
      </c>
      <c r="B23" s="5">
        <v>32.869999999999997</v>
      </c>
    </row>
    <row r="24" spans="1:2" x14ac:dyDescent="0.2">
      <c r="A24" s="4" t="s">
        <v>21</v>
      </c>
      <c r="B24" s="5">
        <v>34.369999999999997</v>
      </c>
    </row>
    <row r="25" spans="1:2" x14ac:dyDescent="0.2">
      <c r="A25" s="4" t="s">
        <v>99</v>
      </c>
      <c r="B25" s="5">
        <v>46.57</v>
      </c>
    </row>
    <row r="26" spans="1:2" x14ac:dyDescent="0.2">
      <c r="A26" s="4" t="s">
        <v>96</v>
      </c>
      <c r="B26" s="5">
        <v>60.76</v>
      </c>
    </row>
    <row r="27" spans="1:2" x14ac:dyDescent="0.2">
      <c r="A27" s="4" t="s">
        <v>94</v>
      </c>
      <c r="B27" s="5">
        <v>94.519999999999982</v>
      </c>
    </row>
    <row r="28" spans="1:2" x14ac:dyDescent="0.2">
      <c r="A28" s="4" t="s">
        <v>95</v>
      </c>
      <c r="B28" s="5">
        <v>96.839999999999989</v>
      </c>
    </row>
    <row r="29" spans="1:2" x14ac:dyDescent="0.2">
      <c r="A29" s="4" t="s">
        <v>19</v>
      </c>
      <c r="B29" s="5">
        <v>130.88999999999999</v>
      </c>
    </row>
    <row r="30" spans="1:2" x14ac:dyDescent="0.2">
      <c r="A30" s="4" t="s">
        <v>104</v>
      </c>
      <c r="B30" s="5">
        <v>593.44999999999993</v>
      </c>
    </row>
    <row r="37" spans="1:2" x14ac:dyDescent="0.2">
      <c r="A37" s="3" t="s">
        <v>103</v>
      </c>
      <c r="B37" t="s">
        <v>112</v>
      </c>
    </row>
    <row r="38" spans="1:2" x14ac:dyDescent="0.2">
      <c r="A38" s="4" t="s">
        <v>38</v>
      </c>
      <c r="B38" s="5">
        <v>17.489999999999998</v>
      </c>
    </row>
    <row r="39" spans="1:2" x14ac:dyDescent="0.2">
      <c r="A39" s="4" t="s">
        <v>11</v>
      </c>
      <c r="B39" s="5">
        <v>29.63</v>
      </c>
    </row>
    <row r="40" spans="1:2" x14ac:dyDescent="0.2">
      <c r="A40" s="4" t="s">
        <v>77</v>
      </c>
      <c r="B40" s="5">
        <v>47.29</v>
      </c>
    </row>
    <row r="41" spans="1:2" x14ac:dyDescent="0.2">
      <c r="A41" s="4" t="s">
        <v>16</v>
      </c>
      <c r="B41" s="5">
        <v>88.81</v>
      </c>
    </row>
    <row r="42" spans="1:2" x14ac:dyDescent="0.2">
      <c r="A42" s="4" t="s">
        <v>32</v>
      </c>
      <c r="B42" s="5">
        <v>120.75999999999999</v>
      </c>
    </row>
    <row r="43" spans="1:2" x14ac:dyDescent="0.2">
      <c r="A43" s="4" t="s">
        <v>22</v>
      </c>
      <c r="B43" s="5">
        <v>180.98999999999998</v>
      </c>
    </row>
    <row r="44" spans="1:2" x14ac:dyDescent="0.2">
      <c r="A44" s="4" t="s">
        <v>8</v>
      </c>
      <c r="B44" s="5">
        <v>414.23000000000008</v>
      </c>
    </row>
    <row r="45" spans="1:2" x14ac:dyDescent="0.2">
      <c r="A45" s="4" t="s">
        <v>104</v>
      </c>
      <c r="B45" s="8">
        <v>899.2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FA22DE-A8E1-3345-83C5-9F1A5197D2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CityList</vt:lpstr>
      <vt:lpstr>EtsySoldOrderItems20-26</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Scarlett Hurford</dc:creator>
  <cp:lastModifiedBy>Scarlett Hurford</cp:lastModifiedBy>
  <dcterms:created xsi:type="dcterms:W3CDTF">2026-03-25T17:31:01Z</dcterms:created>
  <dcterms:modified xsi:type="dcterms:W3CDTF">2026-03-31T20:10:09Z</dcterms:modified>
</cp:coreProperties>
</file>